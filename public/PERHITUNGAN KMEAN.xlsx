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joki\proses 9 data mining\"/>
    </mc:Choice>
  </mc:AlternateContent>
  <xr:revisionPtr revIDLastSave="0" documentId="13_ncr:1_{84CDCB9F-C1F9-4C59-88AE-05A9F6D77A98}" xr6:coauthVersionLast="47" xr6:coauthVersionMax="47" xr10:uidLastSave="{00000000-0000-0000-0000-000000000000}"/>
  <bookViews>
    <workbookView xWindow="-110" yWindow="-110" windowWidth="19420" windowHeight="10300" firstSheet="6" activeTab="10" xr2:uid="{00000000-000D-0000-FFFF-FFFF00000000}"/>
  </bookViews>
  <sheets>
    <sheet name="data awal" sheetId="1" r:id="rId1"/>
    <sheet name="Sheet2" sheetId="2" r:id="rId2"/>
    <sheet name="Sheet3" sheetId="3" r:id="rId3"/>
    <sheet name="data 10" sheetId="4" r:id="rId4"/>
    <sheet name="kmean" sheetId="5" r:id="rId5"/>
    <sheet name="kmean update" sheetId="6" r:id="rId6"/>
    <sheet name="kmeans terbaru" sheetId="8" r:id="rId7"/>
    <sheet name="kmeans update" sheetId="11" r:id="rId8"/>
    <sheet name="budanis kmean" sheetId="7" r:id="rId9"/>
    <sheet name="kmeans terbaru (2)" sheetId="10" r:id="rId10"/>
    <sheet name="Sheet4" sheetId="12"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6" i="12" l="1"/>
  <c r="C68" i="12"/>
  <c r="G68" i="12" s="1"/>
  <c r="F68" i="12"/>
  <c r="E68" i="12"/>
  <c r="D68" i="12"/>
  <c r="P133" i="12"/>
  <c r="C68" i="10"/>
  <c r="P68" i="12"/>
  <c r="E121" i="12"/>
  <c r="E70"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E69"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C69" i="12"/>
  <c r="C70" i="12"/>
  <c r="G70" i="12" s="1"/>
  <c r="C71" i="12"/>
  <c r="G71" i="12" s="1"/>
  <c r="C72" i="12"/>
  <c r="G72" i="12" s="1"/>
  <c r="C73" i="12"/>
  <c r="G73" i="12" s="1"/>
  <c r="C74" i="12"/>
  <c r="C75" i="12"/>
  <c r="C76" i="12"/>
  <c r="C77" i="12"/>
  <c r="C78" i="12"/>
  <c r="G78" i="12" s="1"/>
  <c r="C79" i="12"/>
  <c r="G79" i="12" s="1"/>
  <c r="C80" i="12"/>
  <c r="G80" i="12" s="1"/>
  <c r="C81" i="12"/>
  <c r="G81" i="12" s="1"/>
  <c r="C82" i="12"/>
  <c r="C83" i="12"/>
  <c r="C84" i="12"/>
  <c r="G84" i="12" s="1"/>
  <c r="C85" i="12"/>
  <c r="C86" i="12"/>
  <c r="G86" i="12" s="1"/>
  <c r="C87" i="12"/>
  <c r="G87" i="12" s="1"/>
  <c r="C88" i="12"/>
  <c r="G88" i="12" s="1"/>
  <c r="C89" i="12"/>
  <c r="G89" i="12" s="1"/>
  <c r="C90" i="12"/>
  <c r="C91" i="12"/>
  <c r="C92" i="12"/>
  <c r="G92" i="12" s="1"/>
  <c r="C93" i="12"/>
  <c r="C94" i="12"/>
  <c r="G94" i="12" s="1"/>
  <c r="C95" i="12"/>
  <c r="G95" i="12" s="1"/>
  <c r="C96" i="12"/>
  <c r="G96" i="12" s="1"/>
  <c r="C97" i="12"/>
  <c r="G97" i="12" s="1"/>
  <c r="C98" i="12"/>
  <c r="C99" i="12"/>
  <c r="C100" i="12"/>
  <c r="G100" i="12" s="1"/>
  <c r="C101" i="12"/>
  <c r="C102" i="12"/>
  <c r="G102" i="12" s="1"/>
  <c r="C103" i="12"/>
  <c r="G103" i="12" s="1"/>
  <c r="C104" i="12"/>
  <c r="G104" i="12" s="1"/>
  <c r="C105" i="12"/>
  <c r="G105" i="12" s="1"/>
  <c r="C106" i="12"/>
  <c r="C107" i="12"/>
  <c r="C108" i="12"/>
  <c r="G108" i="12" s="1"/>
  <c r="C109" i="12"/>
  <c r="C110" i="12"/>
  <c r="G110" i="12" s="1"/>
  <c r="C111" i="12"/>
  <c r="G111" i="12" s="1"/>
  <c r="C112" i="12"/>
  <c r="G112" i="12" s="1"/>
  <c r="C113" i="12"/>
  <c r="G113" i="12" s="1"/>
  <c r="C114" i="12"/>
  <c r="C115" i="12"/>
  <c r="C116" i="12"/>
  <c r="G116" i="12" s="1"/>
  <c r="C117" i="12"/>
  <c r="C118" i="12"/>
  <c r="G118" i="12" s="1"/>
  <c r="C119" i="12"/>
  <c r="G119" i="12" s="1"/>
  <c r="C120" i="12"/>
  <c r="G120" i="12" s="1"/>
  <c r="C121" i="12"/>
  <c r="G121" i="12" s="1"/>
  <c r="J237" i="11"/>
  <c r="K237" i="11" s="1"/>
  <c r="I237" i="11"/>
  <c r="E237" i="11"/>
  <c r="D237" i="11"/>
  <c r="C237" i="11"/>
  <c r="K236" i="11"/>
  <c r="E236" i="11"/>
  <c r="D236" i="11"/>
  <c r="C236" i="11"/>
  <c r="J236" i="11" s="1"/>
  <c r="L236" i="11" s="1"/>
  <c r="E235" i="11"/>
  <c r="J234" i="11"/>
  <c r="K234" i="11" s="1"/>
  <c r="I234" i="11"/>
  <c r="H234" i="11"/>
  <c r="G234" i="11"/>
  <c r="C234" i="11"/>
  <c r="J233" i="11"/>
  <c r="L233" i="11" s="1"/>
  <c r="I233" i="11"/>
  <c r="E233" i="11"/>
  <c r="D233" i="11"/>
  <c r="C233" i="11"/>
  <c r="K232" i="11"/>
  <c r="E232" i="11"/>
  <c r="D232" i="11"/>
  <c r="C232" i="11"/>
  <c r="J232" i="11" s="1"/>
  <c r="L232" i="11" s="1"/>
  <c r="I227" i="11"/>
  <c r="H227" i="11"/>
  <c r="G227" i="11"/>
  <c r="F227" i="11"/>
  <c r="E227" i="11"/>
  <c r="D227" i="11"/>
  <c r="C227" i="11"/>
  <c r="J227" i="11" s="1"/>
  <c r="J226" i="11"/>
  <c r="L226" i="11" s="1"/>
  <c r="I226" i="11"/>
  <c r="H226" i="11"/>
  <c r="G226" i="11"/>
  <c r="F226" i="11"/>
  <c r="E226" i="11"/>
  <c r="D226" i="11"/>
  <c r="C226" i="11"/>
  <c r="J225" i="11"/>
  <c r="L225" i="11" s="1"/>
  <c r="I225" i="11"/>
  <c r="H225" i="11"/>
  <c r="G225" i="11"/>
  <c r="F225" i="11"/>
  <c r="E225" i="11"/>
  <c r="D225" i="11"/>
  <c r="C225" i="11"/>
  <c r="K224" i="11"/>
  <c r="I224" i="11"/>
  <c r="H224" i="11"/>
  <c r="G224" i="11"/>
  <c r="F224" i="11"/>
  <c r="E224" i="11"/>
  <c r="D224" i="11"/>
  <c r="C224" i="11"/>
  <c r="J224" i="11" s="1"/>
  <c r="L224" i="11" s="1"/>
  <c r="I223" i="11"/>
  <c r="H223" i="11"/>
  <c r="G223" i="11"/>
  <c r="F223" i="11"/>
  <c r="E223" i="11"/>
  <c r="D223" i="11"/>
  <c r="C223" i="11"/>
  <c r="J223" i="11" s="1"/>
  <c r="J222" i="11"/>
  <c r="K222" i="11" s="1"/>
  <c r="I222" i="11"/>
  <c r="H222" i="11"/>
  <c r="G222" i="11"/>
  <c r="F222" i="11"/>
  <c r="E222" i="11"/>
  <c r="D222" i="11"/>
  <c r="C222" i="11"/>
  <c r="I221" i="11"/>
  <c r="J221" i="11" s="1"/>
  <c r="H221" i="11"/>
  <c r="G221" i="11"/>
  <c r="F221" i="11"/>
  <c r="E221" i="11"/>
  <c r="D221" i="11"/>
  <c r="C221" i="11"/>
  <c r="K220" i="11"/>
  <c r="I220" i="11"/>
  <c r="H220" i="11"/>
  <c r="G220" i="11"/>
  <c r="F220" i="11"/>
  <c r="E220" i="11"/>
  <c r="D220" i="11"/>
  <c r="C220" i="11"/>
  <c r="J220" i="11" s="1"/>
  <c r="L220" i="11" s="1"/>
  <c r="I219" i="11"/>
  <c r="H219" i="11"/>
  <c r="G219" i="11"/>
  <c r="F219" i="11"/>
  <c r="E219" i="11"/>
  <c r="D219" i="11"/>
  <c r="C219" i="11"/>
  <c r="I218" i="11"/>
  <c r="H218" i="11"/>
  <c r="G218" i="11"/>
  <c r="J218" i="11" s="1"/>
  <c r="F218" i="11"/>
  <c r="E218" i="11"/>
  <c r="D218" i="11"/>
  <c r="C218" i="11"/>
  <c r="I217" i="11"/>
  <c r="J217" i="11" s="1"/>
  <c r="H217" i="11"/>
  <c r="G217" i="11"/>
  <c r="F217" i="11"/>
  <c r="E217" i="11"/>
  <c r="D217" i="11"/>
  <c r="C217" i="11"/>
  <c r="I216" i="11"/>
  <c r="H216" i="11"/>
  <c r="G216" i="11"/>
  <c r="F216" i="11"/>
  <c r="E216" i="11"/>
  <c r="D216" i="11"/>
  <c r="C216" i="11"/>
  <c r="J216" i="11" s="1"/>
  <c r="L216" i="11" s="1"/>
  <c r="J215" i="11"/>
  <c r="L215" i="11" s="1"/>
  <c r="M215" i="11" s="1"/>
  <c r="I215" i="11"/>
  <c r="H215" i="11"/>
  <c r="G215" i="11"/>
  <c r="F215" i="11"/>
  <c r="E215" i="11"/>
  <c r="D215" i="11"/>
  <c r="C215" i="11"/>
  <c r="J214" i="11"/>
  <c r="L214" i="11" s="1"/>
  <c r="I214" i="11"/>
  <c r="H214" i="11"/>
  <c r="G214" i="11"/>
  <c r="F214" i="11"/>
  <c r="E214" i="11"/>
  <c r="D214" i="11"/>
  <c r="C214" i="11"/>
  <c r="J213" i="11"/>
  <c r="I213" i="11"/>
  <c r="H213" i="11"/>
  <c r="G213" i="11"/>
  <c r="F213" i="11"/>
  <c r="E213" i="11"/>
  <c r="D213" i="11"/>
  <c r="C213" i="11"/>
  <c r="L212" i="11"/>
  <c r="J212" i="11"/>
  <c r="K212" i="11" s="1"/>
  <c r="I212" i="11"/>
  <c r="H212" i="11"/>
  <c r="G212" i="11"/>
  <c r="F212" i="11"/>
  <c r="E212" i="11"/>
  <c r="D212" i="11"/>
  <c r="C212" i="11"/>
  <c r="J211" i="11"/>
  <c r="L211" i="11" s="1"/>
  <c r="I211" i="11"/>
  <c r="H211" i="11"/>
  <c r="G211" i="11"/>
  <c r="F211" i="11"/>
  <c r="E211" i="11"/>
  <c r="D211" i="11"/>
  <c r="C211" i="11"/>
  <c r="I210" i="11"/>
  <c r="H210" i="11"/>
  <c r="J210" i="11" s="1"/>
  <c r="G210" i="11"/>
  <c r="F210" i="11"/>
  <c r="E210" i="11"/>
  <c r="D210" i="11"/>
  <c r="C210" i="11"/>
  <c r="J209" i="11"/>
  <c r="I209" i="11"/>
  <c r="H209" i="11"/>
  <c r="G209" i="11"/>
  <c r="F209" i="11"/>
  <c r="E209" i="11"/>
  <c r="D209" i="11"/>
  <c r="C209" i="11"/>
  <c r="I208" i="11"/>
  <c r="H208" i="11"/>
  <c r="G208" i="11"/>
  <c r="F208" i="11"/>
  <c r="E208" i="11"/>
  <c r="D208" i="11"/>
  <c r="J208" i="11" s="1"/>
  <c r="K208" i="11" s="1"/>
  <c r="C208" i="11"/>
  <c r="I207" i="11"/>
  <c r="H207" i="11"/>
  <c r="G207" i="11"/>
  <c r="F207" i="11"/>
  <c r="J207" i="11" s="1"/>
  <c r="E207" i="11"/>
  <c r="D207" i="11"/>
  <c r="C207" i="11"/>
  <c r="I206" i="11"/>
  <c r="H206" i="11"/>
  <c r="J206" i="11" s="1"/>
  <c r="G206" i="11"/>
  <c r="F206" i="11"/>
  <c r="E206" i="11"/>
  <c r="D206" i="11"/>
  <c r="C206" i="11"/>
  <c r="J205" i="11"/>
  <c r="I205" i="11"/>
  <c r="H205" i="11"/>
  <c r="G205" i="11"/>
  <c r="F205" i="11"/>
  <c r="E205" i="11"/>
  <c r="D205" i="11"/>
  <c r="C205" i="11"/>
  <c r="L204" i="11"/>
  <c r="I204" i="11"/>
  <c r="H204" i="11"/>
  <c r="G204" i="11"/>
  <c r="F204" i="11"/>
  <c r="E204" i="11"/>
  <c r="D204" i="11"/>
  <c r="J204" i="11" s="1"/>
  <c r="K204" i="11" s="1"/>
  <c r="C204" i="11"/>
  <c r="I203" i="11"/>
  <c r="H203" i="11"/>
  <c r="G203" i="11"/>
  <c r="F203" i="11"/>
  <c r="J203" i="11" s="1"/>
  <c r="E203" i="11"/>
  <c r="D203" i="11"/>
  <c r="C203" i="11"/>
  <c r="I202" i="11"/>
  <c r="H202" i="11"/>
  <c r="J202" i="11" s="1"/>
  <c r="G202" i="11"/>
  <c r="F202" i="11"/>
  <c r="E202" i="11"/>
  <c r="D202" i="11"/>
  <c r="C202" i="11"/>
  <c r="J201" i="11"/>
  <c r="I201" i="11"/>
  <c r="H201" i="11"/>
  <c r="G201" i="11"/>
  <c r="F201" i="11"/>
  <c r="E201" i="11"/>
  <c r="D201" i="11"/>
  <c r="C201" i="11"/>
  <c r="I200" i="11"/>
  <c r="H200" i="11"/>
  <c r="G200" i="11"/>
  <c r="F200" i="11"/>
  <c r="E200" i="11"/>
  <c r="D200" i="11"/>
  <c r="C200" i="11"/>
  <c r="J199" i="11"/>
  <c r="L199" i="11" s="1"/>
  <c r="I199" i="11"/>
  <c r="H199" i="11"/>
  <c r="G199" i="11"/>
  <c r="F199" i="11"/>
  <c r="E199" i="11"/>
  <c r="D199" i="11"/>
  <c r="C199" i="11"/>
  <c r="H237" i="11" s="1"/>
  <c r="J198" i="11"/>
  <c r="L198" i="11" s="1"/>
  <c r="I198" i="11"/>
  <c r="H198" i="11"/>
  <c r="G198" i="11"/>
  <c r="F198" i="11"/>
  <c r="E198" i="11"/>
  <c r="D198" i="11"/>
  <c r="C198" i="11"/>
  <c r="I236" i="11" s="1"/>
  <c r="J197" i="11"/>
  <c r="I197" i="11"/>
  <c r="H197" i="11"/>
  <c r="G197" i="11"/>
  <c r="F197" i="11"/>
  <c r="E197" i="11"/>
  <c r="D197" i="11"/>
  <c r="C197" i="11"/>
  <c r="D235" i="11" s="1"/>
  <c r="L196" i="11"/>
  <c r="J196" i="11"/>
  <c r="K196" i="11" s="1"/>
  <c r="I196" i="11"/>
  <c r="H196" i="11"/>
  <c r="G196" i="11"/>
  <c r="F196" i="11"/>
  <c r="E196" i="11"/>
  <c r="D196" i="11"/>
  <c r="C196" i="11"/>
  <c r="F234" i="11" s="1"/>
  <c r="J195" i="11"/>
  <c r="L195" i="11" s="1"/>
  <c r="I195" i="11"/>
  <c r="H195" i="11"/>
  <c r="G195" i="11"/>
  <c r="F195" i="11"/>
  <c r="E195" i="11"/>
  <c r="D195" i="11"/>
  <c r="C195" i="11"/>
  <c r="H233" i="11" s="1"/>
  <c r="J194" i="11"/>
  <c r="L194" i="11" s="1"/>
  <c r="I194" i="11"/>
  <c r="H194" i="11"/>
  <c r="G194" i="11"/>
  <c r="F194" i="11"/>
  <c r="E194" i="11"/>
  <c r="D194" i="11"/>
  <c r="C194" i="11"/>
  <c r="G232" i="11" s="1"/>
  <c r="J193" i="11"/>
  <c r="I193" i="11"/>
  <c r="H193" i="11"/>
  <c r="G193" i="11"/>
  <c r="F193" i="11"/>
  <c r="E193" i="11"/>
  <c r="D193" i="11"/>
  <c r="C193" i="11"/>
  <c r="I192" i="11"/>
  <c r="H192" i="11"/>
  <c r="G192" i="11"/>
  <c r="F192" i="11"/>
  <c r="E192" i="11"/>
  <c r="D192" i="11"/>
  <c r="C192" i="11"/>
  <c r="I191" i="11"/>
  <c r="H191" i="11"/>
  <c r="G191" i="11"/>
  <c r="F191" i="11"/>
  <c r="E191" i="11"/>
  <c r="D191" i="11"/>
  <c r="C191" i="11"/>
  <c r="I190" i="11"/>
  <c r="H190" i="11"/>
  <c r="G190" i="11"/>
  <c r="F190" i="11"/>
  <c r="E190" i="11"/>
  <c r="D190" i="11"/>
  <c r="C190" i="11"/>
  <c r="I172" i="11"/>
  <c r="H172" i="11"/>
  <c r="G172" i="11"/>
  <c r="F172" i="11"/>
  <c r="E172" i="11"/>
  <c r="D172" i="11"/>
  <c r="C172" i="11"/>
  <c r="J172" i="11" s="1"/>
  <c r="I171" i="11"/>
  <c r="H171" i="11"/>
  <c r="G171" i="11"/>
  <c r="J171" i="11" s="1"/>
  <c r="F171" i="11"/>
  <c r="E171" i="11"/>
  <c r="D171" i="11"/>
  <c r="C171" i="11"/>
  <c r="I170" i="11"/>
  <c r="H170" i="11"/>
  <c r="G170" i="11"/>
  <c r="F170" i="11"/>
  <c r="E170" i="11"/>
  <c r="D170" i="11"/>
  <c r="C170" i="11"/>
  <c r="J170" i="11" s="1"/>
  <c r="I169" i="11"/>
  <c r="H169" i="11"/>
  <c r="G169" i="11"/>
  <c r="F169" i="11"/>
  <c r="E169" i="11"/>
  <c r="D169" i="11"/>
  <c r="C169" i="11"/>
  <c r="J169" i="11" s="1"/>
  <c r="I168" i="11"/>
  <c r="H168" i="11"/>
  <c r="G168" i="11"/>
  <c r="F168" i="11"/>
  <c r="E168" i="11"/>
  <c r="D168" i="11"/>
  <c r="C168" i="11"/>
  <c r="J168" i="11" s="1"/>
  <c r="I167" i="11"/>
  <c r="H167" i="11"/>
  <c r="G167" i="11"/>
  <c r="J167" i="11" s="1"/>
  <c r="F167" i="11"/>
  <c r="E167" i="11"/>
  <c r="D167" i="11"/>
  <c r="C167" i="11"/>
  <c r="I166" i="11"/>
  <c r="H166" i="11"/>
  <c r="G166" i="11"/>
  <c r="F166" i="11"/>
  <c r="E166" i="11"/>
  <c r="D166" i="11"/>
  <c r="C166" i="11"/>
  <c r="J166" i="11" s="1"/>
  <c r="I165" i="11"/>
  <c r="H165" i="11"/>
  <c r="G165" i="11"/>
  <c r="F165" i="11"/>
  <c r="E165" i="11"/>
  <c r="D165" i="11"/>
  <c r="C165" i="11"/>
  <c r="J165" i="11" s="1"/>
  <c r="I164" i="11"/>
  <c r="H164" i="11"/>
  <c r="G164" i="11"/>
  <c r="F164" i="11"/>
  <c r="E164" i="11"/>
  <c r="D164" i="11"/>
  <c r="C164" i="11"/>
  <c r="J164" i="11" s="1"/>
  <c r="I163" i="11"/>
  <c r="H163" i="11"/>
  <c r="G163" i="11"/>
  <c r="J163" i="11" s="1"/>
  <c r="F163" i="11"/>
  <c r="E163" i="11"/>
  <c r="D163" i="11"/>
  <c r="C163" i="11"/>
  <c r="I162" i="11"/>
  <c r="H162" i="11"/>
  <c r="G162" i="11"/>
  <c r="F162" i="11"/>
  <c r="E162" i="11"/>
  <c r="D162" i="11"/>
  <c r="C162" i="11"/>
  <c r="J162" i="11" s="1"/>
  <c r="I161" i="11"/>
  <c r="H161" i="11"/>
  <c r="G161" i="11"/>
  <c r="F161" i="11"/>
  <c r="E161" i="11"/>
  <c r="D161" i="11"/>
  <c r="C161" i="11"/>
  <c r="J161" i="11" s="1"/>
  <c r="J160" i="11"/>
  <c r="L160" i="11" s="1"/>
  <c r="I160" i="11"/>
  <c r="H160" i="11"/>
  <c r="G160" i="11"/>
  <c r="F160" i="11"/>
  <c r="E160" i="11"/>
  <c r="D160" i="11"/>
  <c r="C160" i="11"/>
  <c r="J159" i="11"/>
  <c r="L159" i="11" s="1"/>
  <c r="I159" i="11"/>
  <c r="H159" i="11"/>
  <c r="G159" i="11"/>
  <c r="F159" i="11"/>
  <c r="E159" i="11"/>
  <c r="D159" i="11"/>
  <c r="C159" i="11"/>
  <c r="J158" i="11"/>
  <c r="L158" i="11" s="1"/>
  <c r="I158" i="11"/>
  <c r="H158" i="11"/>
  <c r="G158" i="11"/>
  <c r="F158" i="11"/>
  <c r="E158" i="11"/>
  <c r="D158" i="11"/>
  <c r="C158" i="11"/>
  <c r="I157" i="11"/>
  <c r="H157" i="11"/>
  <c r="G157" i="11"/>
  <c r="F157" i="11"/>
  <c r="E157" i="11"/>
  <c r="D157" i="11"/>
  <c r="C157" i="11"/>
  <c r="J157" i="11" s="1"/>
  <c r="J156" i="11"/>
  <c r="L156" i="11" s="1"/>
  <c r="I156" i="11"/>
  <c r="H156" i="11"/>
  <c r="G156" i="11"/>
  <c r="F156" i="11"/>
  <c r="E156" i="11"/>
  <c r="D156" i="11"/>
  <c r="C156" i="11"/>
  <c r="I155" i="11"/>
  <c r="H155" i="11"/>
  <c r="G155" i="11"/>
  <c r="J155" i="11" s="1"/>
  <c r="F155" i="11"/>
  <c r="E155" i="11"/>
  <c r="D155" i="11"/>
  <c r="C155" i="11"/>
  <c r="I154" i="11"/>
  <c r="J154" i="11" s="1"/>
  <c r="H154" i="11"/>
  <c r="G154" i="11"/>
  <c r="F154" i="11"/>
  <c r="E154" i="11"/>
  <c r="D154" i="11"/>
  <c r="C154" i="11"/>
  <c r="I153" i="11"/>
  <c r="H153" i="11"/>
  <c r="G153" i="11"/>
  <c r="F153" i="11"/>
  <c r="E153" i="11"/>
  <c r="D153" i="11"/>
  <c r="C153" i="11"/>
  <c r="J153" i="11" s="1"/>
  <c r="I152" i="11"/>
  <c r="H152" i="11"/>
  <c r="G152" i="11"/>
  <c r="F152" i="11"/>
  <c r="E152" i="11"/>
  <c r="J152" i="11" s="1"/>
  <c r="D152" i="11"/>
  <c r="C152" i="11"/>
  <c r="I151" i="11"/>
  <c r="H151" i="11"/>
  <c r="G151" i="11"/>
  <c r="J151" i="11" s="1"/>
  <c r="F151" i="11"/>
  <c r="E151" i="11"/>
  <c r="D151" i="11"/>
  <c r="C151" i="11"/>
  <c r="J150" i="11"/>
  <c r="L150" i="11" s="1"/>
  <c r="I150" i="11"/>
  <c r="H150" i="11"/>
  <c r="G150" i="11"/>
  <c r="F150" i="11"/>
  <c r="E150" i="11"/>
  <c r="D150" i="11"/>
  <c r="C150" i="11"/>
  <c r="I149" i="11"/>
  <c r="H149" i="11"/>
  <c r="G149" i="11"/>
  <c r="F149" i="11"/>
  <c r="E149" i="11"/>
  <c r="D149" i="11"/>
  <c r="C149" i="11"/>
  <c r="J149" i="11" s="1"/>
  <c r="J148" i="11"/>
  <c r="L148" i="11" s="1"/>
  <c r="M148" i="11" s="1"/>
  <c r="I148" i="11"/>
  <c r="H148" i="11"/>
  <c r="G148" i="11"/>
  <c r="F148" i="11"/>
  <c r="E148" i="11"/>
  <c r="D148" i="11"/>
  <c r="C148" i="11"/>
  <c r="I147" i="11"/>
  <c r="H147" i="11"/>
  <c r="G147" i="11"/>
  <c r="F147" i="11"/>
  <c r="E147" i="11"/>
  <c r="D147" i="11"/>
  <c r="C147" i="11"/>
  <c r="J147" i="11" s="1"/>
  <c r="J146" i="11"/>
  <c r="L146" i="11" s="1"/>
  <c r="I146" i="11"/>
  <c r="H146" i="11"/>
  <c r="G146" i="11"/>
  <c r="F146" i="11"/>
  <c r="E146" i="11"/>
  <c r="D146" i="11"/>
  <c r="C146" i="11"/>
  <c r="I145" i="11"/>
  <c r="H145" i="11"/>
  <c r="G145" i="11"/>
  <c r="F145" i="11"/>
  <c r="E145" i="11"/>
  <c r="D145" i="11"/>
  <c r="C145" i="11"/>
  <c r="J145" i="11" s="1"/>
  <c r="I144" i="11"/>
  <c r="H144" i="11"/>
  <c r="G144" i="11"/>
  <c r="F144" i="11"/>
  <c r="E144" i="11"/>
  <c r="D144" i="11"/>
  <c r="C144" i="11"/>
  <c r="J144" i="11" s="1"/>
  <c r="I143" i="11"/>
  <c r="H143" i="11"/>
  <c r="G143" i="11"/>
  <c r="F143" i="11"/>
  <c r="E143" i="11"/>
  <c r="D143" i="11"/>
  <c r="C143" i="11"/>
  <c r="J143" i="11" s="1"/>
  <c r="J142" i="11"/>
  <c r="L142" i="11" s="1"/>
  <c r="I142" i="11"/>
  <c r="H142" i="11"/>
  <c r="G142" i="11"/>
  <c r="F142" i="11"/>
  <c r="E142" i="11"/>
  <c r="D142" i="11"/>
  <c r="C142" i="11"/>
  <c r="I141" i="11"/>
  <c r="H141" i="11"/>
  <c r="G141" i="11"/>
  <c r="F141" i="11"/>
  <c r="E141" i="11"/>
  <c r="D141" i="11"/>
  <c r="C141" i="11"/>
  <c r="J141" i="11" s="1"/>
  <c r="I140" i="11"/>
  <c r="H140" i="11"/>
  <c r="G140" i="11"/>
  <c r="F140" i="11"/>
  <c r="E140" i="11"/>
  <c r="D140" i="11"/>
  <c r="C140" i="11"/>
  <c r="J140" i="11" s="1"/>
  <c r="I139" i="11"/>
  <c r="H139" i="11"/>
  <c r="G139" i="11"/>
  <c r="F139" i="11"/>
  <c r="E139" i="11"/>
  <c r="D139" i="11"/>
  <c r="C139" i="11"/>
  <c r="J139" i="11" s="1"/>
  <c r="J138" i="11"/>
  <c r="L138" i="11" s="1"/>
  <c r="I138" i="11"/>
  <c r="H138" i="11"/>
  <c r="G138" i="11"/>
  <c r="F138" i="11"/>
  <c r="E138" i="11"/>
  <c r="D138" i="11"/>
  <c r="C138" i="11"/>
  <c r="I137" i="11"/>
  <c r="H137" i="11"/>
  <c r="G137" i="11"/>
  <c r="F137" i="11"/>
  <c r="E137" i="11"/>
  <c r="D137" i="11"/>
  <c r="C137" i="11"/>
  <c r="J137" i="11" s="1"/>
  <c r="I136" i="11"/>
  <c r="H136" i="11"/>
  <c r="G136" i="11"/>
  <c r="F136" i="11"/>
  <c r="E136" i="11"/>
  <c r="D136" i="11"/>
  <c r="C136" i="11"/>
  <c r="J136" i="11" s="1"/>
  <c r="I135" i="11"/>
  <c r="H135" i="11"/>
  <c r="G135" i="11"/>
  <c r="F135" i="11"/>
  <c r="E135" i="11"/>
  <c r="D135" i="11"/>
  <c r="C135" i="11"/>
  <c r="J135" i="11" s="1"/>
  <c r="J134" i="11"/>
  <c r="L134" i="11" s="1"/>
  <c r="I134" i="11"/>
  <c r="H134" i="11"/>
  <c r="G134" i="11"/>
  <c r="F134" i="11"/>
  <c r="E134" i="11"/>
  <c r="D134" i="11"/>
  <c r="C134" i="11"/>
  <c r="I133" i="11"/>
  <c r="H133" i="11"/>
  <c r="G133" i="11"/>
  <c r="F133" i="11"/>
  <c r="E133" i="11"/>
  <c r="D133" i="11"/>
  <c r="C133" i="11"/>
  <c r="J133" i="11" s="1"/>
  <c r="I132" i="11"/>
  <c r="H132" i="11"/>
  <c r="G132" i="11"/>
  <c r="F132" i="11"/>
  <c r="E132" i="11"/>
  <c r="D132" i="11"/>
  <c r="C132" i="11"/>
  <c r="J132" i="11" s="1"/>
  <c r="I131" i="11"/>
  <c r="H131" i="11"/>
  <c r="G131" i="11"/>
  <c r="F131" i="11"/>
  <c r="E131" i="11"/>
  <c r="D131" i="11"/>
  <c r="C131" i="11"/>
  <c r="J131" i="11" s="1"/>
  <c r="J130" i="11"/>
  <c r="L130" i="11" s="1"/>
  <c r="I130" i="11"/>
  <c r="H130" i="11"/>
  <c r="G130" i="11"/>
  <c r="F130" i="11"/>
  <c r="E130" i="11"/>
  <c r="D130" i="11"/>
  <c r="C130" i="11"/>
  <c r="I129" i="11"/>
  <c r="H129" i="11"/>
  <c r="G129" i="11"/>
  <c r="F129" i="11"/>
  <c r="E129" i="11"/>
  <c r="D129" i="11"/>
  <c r="C129" i="11"/>
  <c r="J129" i="11" s="1"/>
  <c r="I128" i="11"/>
  <c r="H128" i="11"/>
  <c r="G128" i="11"/>
  <c r="F128" i="11"/>
  <c r="E128" i="11"/>
  <c r="D128" i="11"/>
  <c r="C128" i="11"/>
  <c r="J128" i="11" s="1"/>
  <c r="I127" i="11"/>
  <c r="H127" i="11"/>
  <c r="G127" i="11"/>
  <c r="F127" i="11"/>
  <c r="E127" i="11"/>
  <c r="D127" i="11"/>
  <c r="C127" i="11"/>
  <c r="J127" i="11" s="1"/>
  <c r="J126" i="11"/>
  <c r="K126" i="11" s="1"/>
  <c r="I126" i="11"/>
  <c r="H126" i="11"/>
  <c r="G126" i="11"/>
  <c r="F126" i="11"/>
  <c r="E126" i="11"/>
  <c r="D126" i="11"/>
  <c r="C126" i="11"/>
  <c r="I125" i="11"/>
  <c r="H125" i="11"/>
  <c r="G125" i="11"/>
  <c r="F125" i="11"/>
  <c r="E125" i="11"/>
  <c r="D125" i="11"/>
  <c r="C125" i="11"/>
  <c r="J125" i="11" s="1"/>
  <c r="I124" i="11"/>
  <c r="H124" i="11"/>
  <c r="G124" i="11"/>
  <c r="F124" i="11"/>
  <c r="E124" i="11"/>
  <c r="D124" i="11"/>
  <c r="C124" i="11"/>
  <c r="J124" i="11" s="1"/>
  <c r="I123" i="11"/>
  <c r="H123" i="11"/>
  <c r="G123" i="11"/>
  <c r="F123" i="11"/>
  <c r="J123" i="11" s="1"/>
  <c r="E123" i="11"/>
  <c r="D123" i="11"/>
  <c r="C123" i="11"/>
  <c r="L69" i="10"/>
  <c r="L70" i="10"/>
  <c r="L71" i="10"/>
  <c r="L72" i="10"/>
  <c r="L73" i="10"/>
  <c r="L74" i="10"/>
  <c r="L75" i="10"/>
  <c r="L76" i="10"/>
  <c r="L77" i="10"/>
  <c r="L78" i="10"/>
  <c r="L79" i="10"/>
  <c r="L80" i="10"/>
  <c r="L81" i="10"/>
  <c r="L82" i="10"/>
  <c r="L83" i="10"/>
  <c r="L84" i="10"/>
  <c r="L85" i="10"/>
  <c r="L86" i="10"/>
  <c r="L87" i="10"/>
  <c r="L88" i="10"/>
  <c r="L89" i="10"/>
  <c r="L90" i="10"/>
  <c r="L91" i="10"/>
  <c r="L92" i="10"/>
  <c r="K92" i="10"/>
  <c r="K91" i="10"/>
  <c r="K90" i="10"/>
  <c r="K89" i="10"/>
  <c r="K88" i="10"/>
  <c r="K87" i="10"/>
  <c r="K86" i="10"/>
  <c r="K85" i="10"/>
  <c r="K84" i="10"/>
  <c r="K83" i="10"/>
  <c r="K82" i="10"/>
  <c r="K81" i="10"/>
  <c r="K80" i="10"/>
  <c r="K79" i="10"/>
  <c r="K78" i="10"/>
  <c r="K77" i="10"/>
  <c r="K76" i="10"/>
  <c r="K75" i="10"/>
  <c r="K74" i="10"/>
  <c r="K73" i="10"/>
  <c r="K72" i="10"/>
  <c r="K71" i="10"/>
  <c r="K70" i="10"/>
  <c r="K69" i="10"/>
  <c r="J68" i="10"/>
  <c r="L68" i="10" s="1"/>
  <c r="M68" i="10" s="1"/>
  <c r="I68" i="10"/>
  <c r="H68" i="10"/>
  <c r="G68" i="10"/>
  <c r="F68" i="10"/>
  <c r="E68" i="10"/>
  <c r="D68" i="10"/>
  <c r="C69" i="10"/>
  <c r="I92" i="10"/>
  <c r="H92" i="10"/>
  <c r="G92" i="10"/>
  <c r="F92" i="10"/>
  <c r="E92" i="10"/>
  <c r="D92" i="10"/>
  <c r="C92" i="10"/>
  <c r="I91" i="10"/>
  <c r="H91" i="10"/>
  <c r="G91" i="10"/>
  <c r="F91" i="10"/>
  <c r="E91" i="10"/>
  <c r="D91" i="10"/>
  <c r="C91" i="10"/>
  <c r="I90" i="10"/>
  <c r="H90" i="10"/>
  <c r="G90" i="10"/>
  <c r="F90" i="10"/>
  <c r="E90" i="10"/>
  <c r="D90" i="10"/>
  <c r="C90" i="10"/>
  <c r="I89" i="10"/>
  <c r="H89" i="10"/>
  <c r="G89" i="10"/>
  <c r="F89" i="10"/>
  <c r="E89" i="10"/>
  <c r="D89" i="10"/>
  <c r="C89" i="10"/>
  <c r="I88" i="10"/>
  <c r="H88" i="10"/>
  <c r="G88" i="10"/>
  <c r="F88" i="10"/>
  <c r="E88" i="10"/>
  <c r="D88" i="10"/>
  <c r="C88" i="10"/>
  <c r="I87" i="10"/>
  <c r="H87" i="10"/>
  <c r="G87" i="10"/>
  <c r="F87" i="10"/>
  <c r="E87" i="10"/>
  <c r="D87" i="10"/>
  <c r="C87" i="10"/>
  <c r="I86" i="10"/>
  <c r="H86" i="10"/>
  <c r="G86" i="10"/>
  <c r="F86" i="10"/>
  <c r="E86" i="10"/>
  <c r="D86" i="10"/>
  <c r="C86" i="10"/>
  <c r="I85" i="10"/>
  <c r="H85" i="10"/>
  <c r="G85" i="10"/>
  <c r="F85" i="10"/>
  <c r="E85" i="10"/>
  <c r="D85" i="10"/>
  <c r="C85" i="10"/>
  <c r="I84" i="10"/>
  <c r="H84" i="10"/>
  <c r="G84" i="10"/>
  <c r="F84" i="10"/>
  <c r="E84" i="10"/>
  <c r="D84" i="10"/>
  <c r="C84" i="10"/>
  <c r="I83" i="10"/>
  <c r="H83" i="10"/>
  <c r="G83" i="10"/>
  <c r="F83" i="10"/>
  <c r="E83" i="10"/>
  <c r="D83" i="10"/>
  <c r="C83" i="10"/>
  <c r="I82" i="10"/>
  <c r="H82" i="10"/>
  <c r="G82" i="10"/>
  <c r="F82" i="10"/>
  <c r="E82" i="10"/>
  <c r="D82" i="10"/>
  <c r="C82" i="10"/>
  <c r="I81" i="10"/>
  <c r="H81" i="10"/>
  <c r="G81" i="10"/>
  <c r="F81" i="10"/>
  <c r="E81" i="10"/>
  <c r="D81" i="10"/>
  <c r="C81" i="10"/>
  <c r="I80" i="10"/>
  <c r="H80" i="10"/>
  <c r="G80" i="10"/>
  <c r="F80" i="10"/>
  <c r="E80" i="10"/>
  <c r="D80" i="10"/>
  <c r="C80" i="10"/>
  <c r="I79" i="10"/>
  <c r="H79" i="10"/>
  <c r="G79" i="10"/>
  <c r="F79" i="10"/>
  <c r="E79" i="10"/>
  <c r="D79" i="10"/>
  <c r="C79" i="10"/>
  <c r="I78" i="10"/>
  <c r="H78" i="10"/>
  <c r="G78" i="10"/>
  <c r="F78" i="10"/>
  <c r="E78" i="10"/>
  <c r="D78" i="10"/>
  <c r="C78" i="10"/>
  <c r="I77" i="10"/>
  <c r="H77" i="10"/>
  <c r="G77" i="10"/>
  <c r="F77" i="10"/>
  <c r="E77" i="10"/>
  <c r="D77" i="10"/>
  <c r="C77" i="10"/>
  <c r="I76" i="10"/>
  <c r="H76" i="10"/>
  <c r="G76" i="10"/>
  <c r="F76" i="10"/>
  <c r="E76" i="10"/>
  <c r="D76" i="10"/>
  <c r="C76" i="10"/>
  <c r="I75" i="10"/>
  <c r="H75" i="10"/>
  <c r="G75" i="10"/>
  <c r="F75" i="10"/>
  <c r="E75" i="10"/>
  <c r="D75" i="10"/>
  <c r="C75" i="10"/>
  <c r="I74" i="10"/>
  <c r="H74" i="10"/>
  <c r="G74" i="10"/>
  <c r="F74" i="10"/>
  <c r="E74" i="10"/>
  <c r="D74" i="10"/>
  <c r="C74" i="10"/>
  <c r="I73" i="10"/>
  <c r="H73" i="10"/>
  <c r="G73" i="10"/>
  <c r="F73" i="10"/>
  <c r="E73" i="10"/>
  <c r="D73" i="10"/>
  <c r="C73" i="10"/>
  <c r="I72" i="10"/>
  <c r="H72" i="10"/>
  <c r="G72" i="10"/>
  <c r="F72" i="10"/>
  <c r="E72" i="10"/>
  <c r="D72" i="10"/>
  <c r="C72" i="10"/>
  <c r="I71" i="10"/>
  <c r="H71" i="10"/>
  <c r="G71" i="10"/>
  <c r="F71" i="10"/>
  <c r="E71" i="10"/>
  <c r="D71" i="10"/>
  <c r="C71" i="10"/>
  <c r="I70" i="10"/>
  <c r="H70" i="10"/>
  <c r="G70" i="10"/>
  <c r="F70" i="10"/>
  <c r="E70" i="10"/>
  <c r="D70" i="10"/>
  <c r="C70" i="10"/>
  <c r="I69" i="10"/>
  <c r="H69" i="10"/>
  <c r="G69" i="10"/>
  <c r="F69" i="10"/>
  <c r="E69" i="10"/>
  <c r="D69" i="10"/>
  <c r="C68" i="8"/>
  <c r="B89" i="6"/>
  <c r="I68" i="8"/>
  <c r="I69" i="8"/>
  <c r="I70" i="8"/>
  <c r="I71" i="8"/>
  <c r="I72" i="8"/>
  <c r="I73" i="8"/>
  <c r="I74" i="8"/>
  <c r="I75" i="8"/>
  <c r="I76" i="8"/>
  <c r="I77" i="8"/>
  <c r="I78" i="8"/>
  <c r="I79" i="8"/>
  <c r="I80" i="8"/>
  <c r="I81" i="8"/>
  <c r="I82" i="8"/>
  <c r="I83" i="8"/>
  <c r="I84" i="8"/>
  <c r="I85" i="8"/>
  <c r="I86" i="8"/>
  <c r="I87" i="8"/>
  <c r="I88" i="8"/>
  <c r="I89" i="8"/>
  <c r="I90" i="8"/>
  <c r="I91" i="8"/>
  <c r="I92" i="8"/>
  <c r="H68" i="8"/>
  <c r="H92" i="8"/>
  <c r="H69" i="8"/>
  <c r="H70" i="8"/>
  <c r="H71" i="8"/>
  <c r="H72" i="8"/>
  <c r="H73" i="8"/>
  <c r="H74" i="8"/>
  <c r="H75" i="8"/>
  <c r="H76" i="8"/>
  <c r="H77" i="8"/>
  <c r="H78" i="8"/>
  <c r="H79" i="8"/>
  <c r="H80" i="8"/>
  <c r="H81" i="8"/>
  <c r="H82" i="8"/>
  <c r="H83" i="8"/>
  <c r="H84" i="8"/>
  <c r="H85" i="8"/>
  <c r="H86" i="8"/>
  <c r="H87" i="8"/>
  <c r="H88" i="8"/>
  <c r="H89" i="8"/>
  <c r="H90" i="8"/>
  <c r="H91" i="8"/>
  <c r="G68" i="8"/>
  <c r="G69" i="8"/>
  <c r="G70" i="8"/>
  <c r="G71" i="8"/>
  <c r="G72" i="8"/>
  <c r="G73" i="8"/>
  <c r="G74" i="8"/>
  <c r="G75" i="8"/>
  <c r="G76" i="8"/>
  <c r="G77" i="8"/>
  <c r="G78" i="8"/>
  <c r="G79" i="8"/>
  <c r="G80" i="8"/>
  <c r="G81" i="8"/>
  <c r="G82" i="8"/>
  <c r="G83" i="8"/>
  <c r="G84" i="8"/>
  <c r="G85" i="8"/>
  <c r="G86" i="8"/>
  <c r="G87" i="8"/>
  <c r="G88" i="8"/>
  <c r="G89" i="8"/>
  <c r="G90" i="8"/>
  <c r="G91" i="8"/>
  <c r="G92" i="8"/>
  <c r="F68" i="8"/>
  <c r="F69" i="8"/>
  <c r="F70" i="8"/>
  <c r="F71" i="8"/>
  <c r="F72" i="8"/>
  <c r="F73" i="8"/>
  <c r="F74" i="8"/>
  <c r="F75" i="8"/>
  <c r="F76" i="8"/>
  <c r="F77" i="8"/>
  <c r="F78" i="8"/>
  <c r="F79" i="8"/>
  <c r="F80" i="8"/>
  <c r="F81" i="8"/>
  <c r="F82" i="8"/>
  <c r="F83" i="8"/>
  <c r="F84" i="8"/>
  <c r="F85" i="8"/>
  <c r="F86" i="8"/>
  <c r="F87" i="8"/>
  <c r="F88" i="8"/>
  <c r="F89" i="8"/>
  <c r="F90" i="8"/>
  <c r="F91" i="8"/>
  <c r="F92" i="8"/>
  <c r="E68" i="8"/>
  <c r="E69" i="8"/>
  <c r="E70" i="8"/>
  <c r="E71" i="8"/>
  <c r="E72" i="8"/>
  <c r="E73" i="8"/>
  <c r="E74" i="8"/>
  <c r="E75" i="8"/>
  <c r="E76" i="8"/>
  <c r="E77" i="8"/>
  <c r="E78" i="8"/>
  <c r="E79" i="8"/>
  <c r="E80" i="8"/>
  <c r="E81" i="8"/>
  <c r="E82" i="8"/>
  <c r="E83" i="8"/>
  <c r="E84" i="8"/>
  <c r="E85" i="8"/>
  <c r="E86" i="8"/>
  <c r="E87" i="8"/>
  <c r="E88" i="8"/>
  <c r="E89" i="8"/>
  <c r="E90" i="8"/>
  <c r="E91" i="8"/>
  <c r="E92" i="8"/>
  <c r="D68" i="8"/>
  <c r="D69" i="8"/>
  <c r="D70" i="8"/>
  <c r="D71" i="8"/>
  <c r="D72" i="8"/>
  <c r="D73" i="8"/>
  <c r="D74" i="8"/>
  <c r="D75" i="8"/>
  <c r="D76" i="8"/>
  <c r="D77" i="8"/>
  <c r="D78" i="8"/>
  <c r="D79" i="8"/>
  <c r="D80" i="8"/>
  <c r="D81" i="8"/>
  <c r="D82" i="8"/>
  <c r="D83" i="8"/>
  <c r="D84" i="8"/>
  <c r="D85" i="8"/>
  <c r="D86" i="8"/>
  <c r="D87" i="8"/>
  <c r="D88" i="8"/>
  <c r="D89" i="8"/>
  <c r="D90" i="8"/>
  <c r="D91" i="8"/>
  <c r="D92" i="8"/>
  <c r="C69" i="8"/>
  <c r="C70" i="8"/>
  <c r="C71" i="8"/>
  <c r="C72" i="8"/>
  <c r="C73" i="8"/>
  <c r="C74" i="8"/>
  <c r="C75" i="8"/>
  <c r="C76" i="8"/>
  <c r="C77" i="8"/>
  <c r="C78" i="8"/>
  <c r="C79" i="8"/>
  <c r="C80" i="8"/>
  <c r="C81" i="8"/>
  <c r="C82" i="8"/>
  <c r="C83" i="8"/>
  <c r="C84" i="8"/>
  <c r="C85" i="8"/>
  <c r="C86" i="8"/>
  <c r="C87" i="8"/>
  <c r="C88" i="8"/>
  <c r="C89" i="8"/>
  <c r="C90" i="8"/>
  <c r="C91" i="8"/>
  <c r="C92" i="8"/>
  <c r="K47" i="7"/>
  <c r="K69" i="7"/>
  <c r="K91" i="7"/>
  <c r="G92" i="7"/>
  <c r="G93" i="7"/>
  <c r="G94" i="7"/>
  <c r="G95" i="7"/>
  <c r="G96" i="7"/>
  <c r="G97" i="7"/>
  <c r="H97" i="7" s="1"/>
  <c r="G98" i="7"/>
  <c r="G99" i="7"/>
  <c r="G100" i="7"/>
  <c r="G101" i="7"/>
  <c r="G102" i="7"/>
  <c r="G103" i="7"/>
  <c r="G104" i="7"/>
  <c r="G105" i="7"/>
  <c r="H104" i="7"/>
  <c r="H94" i="7"/>
  <c r="G91" i="7"/>
  <c r="F91" i="7"/>
  <c r="F92" i="7"/>
  <c r="F93" i="7"/>
  <c r="F94" i="7"/>
  <c r="F95" i="7"/>
  <c r="F96" i="7"/>
  <c r="F97" i="7"/>
  <c r="F98" i="7"/>
  <c r="F99" i="7"/>
  <c r="F100" i="7"/>
  <c r="F101" i="7"/>
  <c r="F102" i="7"/>
  <c r="F103" i="7"/>
  <c r="F104" i="7"/>
  <c r="F105" i="7"/>
  <c r="E91" i="7"/>
  <c r="E92" i="7"/>
  <c r="E93" i="7"/>
  <c r="E94" i="7"/>
  <c r="E95" i="7"/>
  <c r="H95" i="7" s="1"/>
  <c r="E96" i="7"/>
  <c r="E97" i="7"/>
  <c r="E98" i="7"/>
  <c r="E99" i="7"/>
  <c r="E100" i="7"/>
  <c r="E101" i="7"/>
  <c r="E102" i="7"/>
  <c r="E103" i="7"/>
  <c r="H103" i="7" s="1"/>
  <c r="E104" i="7"/>
  <c r="E105" i="7"/>
  <c r="H91" i="7"/>
  <c r="H102" i="7"/>
  <c r="H100" i="7"/>
  <c r="H98" i="7"/>
  <c r="H96" i="7"/>
  <c r="D88" i="7"/>
  <c r="C88" i="7"/>
  <c r="C87" i="7"/>
  <c r="D87" i="7"/>
  <c r="C86" i="7"/>
  <c r="D86" i="7"/>
  <c r="I74" i="7"/>
  <c r="G70" i="7"/>
  <c r="H70" i="7" s="1"/>
  <c r="G71" i="7"/>
  <c r="G72" i="7"/>
  <c r="G73" i="7"/>
  <c r="G74" i="7"/>
  <c r="H74" i="7" s="1"/>
  <c r="G75" i="7"/>
  <c r="G76" i="7"/>
  <c r="G77" i="7"/>
  <c r="G78" i="7"/>
  <c r="H78" i="7" s="1"/>
  <c r="G79" i="7"/>
  <c r="G80" i="7"/>
  <c r="G81" i="7"/>
  <c r="G82" i="7"/>
  <c r="H82" i="7" s="1"/>
  <c r="G83" i="7"/>
  <c r="G69" i="7"/>
  <c r="F69" i="7"/>
  <c r="F70" i="7"/>
  <c r="F71" i="7"/>
  <c r="F72" i="7"/>
  <c r="F73" i="7"/>
  <c r="F74" i="7"/>
  <c r="F75" i="7"/>
  <c r="F76" i="7"/>
  <c r="F77" i="7"/>
  <c r="F78" i="7"/>
  <c r="F79" i="7"/>
  <c r="H79" i="7" s="1"/>
  <c r="F80" i="7"/>
  <c r="F81" i="7"/>
  <c r="F82" i="7"/>
  <c r="F83" i="7"/>
  <c r="H75" i="7"/>
  <c r="H83" i="7"/>
  <c r="H81" i="7"/>
  <c r="E69" i="7"/>
  <c r="E70" i="7"/>
  <c r="E71" i="7"/>
  <c r="E72" i="7"/>
  <c r="E73" i="7"/>
  <c r="E74" i="7"/>
  <c r="E75" i="7"/>
  <c r="E76" i="7"/>
  <c r="E77" i="7"/>
  <c r="E78" i="7"/>
  <c r="E79" i="7"/>
  <c r="E80" i="7"/>
  <c r="E81" i="7"/>
  <c r="E82" i="7"/>
  <c r="E83" i="7"/>
  <c r="I47" i="7"/>
  <c r="H80" i="7"/>
  <c r="H76" i="7"/>
  <c r="H73" i="7"/>
  <c r="H72" i="7"/>
  <c r="H71" i="7"/>
  <c r="H48" i="7"/>
  <c r="H49" i="7"/>
  <c r="H50" i="7"/>
  <c r="H51" i="7"/>
  <c r="H52" i="7"/>
  <c r="H53" i="7"/>
  <c r="H54" i="7"/>
  <c r="H55" i="7"/>
  <c r="H56" i="7"/>
  <c r="H57" i="7"/>
  <c r="H58" i="7"/>
  <c r="H59" i="7"/>
  <c r="H60" i="7"/>
  <c r="H61" i="7"/>
  <c r="H47" i="7"/>
  <c r="G48" i="7"/>
  <c r="G49" i="7"/>
  <c r="G50" i="7"/>
  <c r="G51" i="7"/>
  <c r="G52" i="7"/>
  <c r="G53" i="7"/>
  <c r="G54" i="7"/>
  <c r="G55" i="7"/>
  <c r="G56" i="7"/>
  <c r="G57" i="7"/>
  <c r="G58" i="7"/>
  <c r="G59" i="7"/>
  <c r="G60" i="7"/>
  <c r="G61" i="7"/>
  <c r="G47" i="7"/>
  <c r="F47" i="7"/>
  <c r="F48" i="7"/>
  <c r="F49" i="7"/>
  <c r="F50" i="7"/>
  <c r="F51" i="7"/>
  <c r="F52" i="7"/>
  <c r="F53" i="7"/>
  <c r="F54" i="7"/>
  <c r="F55" i="7"/>
  <c r="F56" i="7"/>
  <c r="F57" i="7"/>
  <c r="F58" i="7"/>
  <c r="F59" i="7"/>
  <c r="F60" i="7"/>
  <c r="F61" i="7"/>
  <c r="E47" i="7"/>
  <c r="E48" i="7"/>
  <c r="E49" i="7"/>
  <c r="E50" i="7"/>
  <c r="E51" i="7"/>
  <c r="E52" i="7"/>
  <c r="E53" i="7"/>
  <c r="E54" i="7"/>
  <c r="E55" i="7"/>
  <c r="E56" i="7"/>
  <c r="E57" i="7"/>
  <c r="E58" i="7"/>
  <c r="E59" i="7"/>
  <c r="E60" i="7"/>
  <c r="E61" i="7"/>
  <c r="D44" i="7"/>
  <c r="C44" i="7"/>
  <c r="D43" i="7"/>
  <c r="C43" i="7"/>
  <c r="C42" i="7"/>
  <c r="D42" i="7"/>
  <c r="J26" i="7"/>
  <c r="J27" i="7"/>
  <c r="J28" i="7"/>
  <c r="J29" i="7"/>
  <c r="J30" i="7"/>
  <c r="J31" i="7"/>
  <c r="J32" i="7"/>
  <c r="J33" i="7"/>
  <c r="J34" i="7"/>
  <c r="J35" i="7"/>
  <c r="J36" i="7"/>
  <c r="J37" i="7"/>
  <c r="J38" i="7"/>
  <c r="J39" i="7"/>
  <c r="J25" i="7"/>
  <c r="I26" i="7"/>
  <c r="I27" i="7"/>
  <c r="I28" i="7"/>
  <c r="I29" i="7"/>
  <c r="I30" i="7"/>
  <c r="I31" i="7"/>
  <c r="I32" i="7"/>
  <c r="I33" i="7"/>
  <c r="I34" i="7"/>
  <c r="I35" i="7"/>
  <c r="I36" i="7"/>
  <c r="I37" i="7"/>
  <c r="I38" i="7"/>
  <c r="I39" i="7"/>
  <c r="I25" i="7"/>
  <c r="K62" i="6"/>
  <c r="H26" i="7"/>
  <c r="H27" i="7"/>
  <c r="H28" i="7"/>
  <c r="H29" i="7"/>
  <c r="H30" i="7"/>
  <c r="H31" i="7"/>
  <c r="H32" i="7"/>
  <c r="H33" i="7"/>
  <c r="H34" i="7"/>
  <c r="H35" i="7"/>
  <c r="H36" i="7"/>
  <c r="H37" i="7"/>
  <c r="H38" i="7"/>
  <c r="H39" i="7"/>
  <c r="H25" i="7"/>
  <c r="J62" i="6"/>
  <c r="G26" i="7"/>
  <c r="G27" i="7"/>
  <c r="G28" i="7"/>
  <c r="G29" i="7"/>
  <c r="G30" i="7"/>
  <c r="G31" i="7"/>
  <c r="G32" i="7"/>
  <c r="G33" i="7"/>
  <c r="G34" i="7"/>
  <c r="G35" i="7"/>
  <c r="G36" i="7"/>
  <c r="G37" i="7"/>
  <c r="G38" i="7"/>
  <c r="G39" i="7"/>
  <c r="G25" i="7"/>
  <c r="F25" i="7"/>
  <c r="F26" i="7"/>
  <c r="F27" i="7"/>
  <c r="F28" i="7"/>
  <c r="F29" i="7"/>
  <c r="F30" i="7"/>
  <c r="F31" i="7"/>
  <c r="F32" i="7"/>
  <c r="F33" i="7"/>
  <c r="F34" i="7"/>
  <c r="F35" i="7"/>
  <c r="F36" i="7"/>
  <c r="F37" i="7"/>
  <c r="F38" i="7"/>
  <c r="F39" i="7"/>
  <c r="E25" i="7"/>
  <c r="E26" i="7"/>
  <c r="E27" i="7"/>
  <c r="E28" i="7"/>
  <c r="E29" i="7"/>
  <c r="E30" i="7"/>
  <c r="E31" i="7"/>
  <c r="E32" i="7"/>
  <c r="E33" i="7"/>
  <c r="E34" i="7"/>
  <c r="E35" i="7"/>
  <c r="E36" i="7"/>
  <c r="E37" i="7"/>
  <c r="E38" i="7"/>
  <c r="E39" i="7"/>
  <c r="C62" i="6"/>
  <c r="D62" i="6"/>
  <c r="I62" i="6"/>
  <c r="C63" i="6"/>
  <c r="L84" i="6"/>
  <c r="K81" i="6"/>
  <c r="K82" i="6"/>
  <c r="K83" i="6"/>
  <c r="J63" i="6"/>
  <c r="J64" i="6"/>
  <c r="J65" i="6"/>
  <c r="J66" i="6"/>
  <c r="J67" i="6"/>
  <c r="J68" i="6"/>
  <c r="J69" i="6"/>
  <c r="J70" i="6"/>
  <c r="J71" i="6"/>
  <c r="J72" i="6"/>
  <c r="J73" i="6"/>
  <c r="J74" i="6"/>
  <c r="J75" i="6"/>
  <c r="J76" i="6"/>
  <c r="J77" i="6"/>
  <c r="J78" i="6"/>
  <c r="J79" i="6"/>
  <c r="J80" i="6"/>
  <c r="L80" i="6" s="1"/>
  <c r="J81" i="6"/>
  <c r="L81" i="6" s="1"/>
  <c r="J82" i="6"/>
  <c r="L82" i="6" s="1"/>
  <c r="J83" i="6"/>
  <c r="L83" i="6" s="1"/>
  <c r="J84" i="6"/>
  <c r="K84" i="6" s="1"/>
  <c r="I63" i="6"/>
  <c r="I64" i="6"/>
  <c r="I65" i="6"/>
  <c r="I66" i="6"/>
  <c r="I67" i="6"/>
  <c r="I68" i="6"/>
  <c r="I69" i="6"/>
  <c r="I70" i="6"/>
  <c r="I71" i="6"/>
  <c r="I72" i="6"/>
  <c r="I73" i="6"/>
  <c r="I74" i="6"/>
  <c r="I75" i="6"/>
  <c r="I76" i="6"/>
  <c r="I77" i="6"/>
  <c r="I78" i="6"/>
  <c r="I79" i="6"/>
  <c r="I80" i="6"/>
  <c r="I81" i="6"/>
  <c r="I82" i="6"/>
  <c r="I83" i="6"/>
  <c r="I84" i="6"/>
  <c r="H62" i="6"/>
  <c r="H63" i="6"/>
  <c r="H64" i="6"/>
  <c r="H65" i="6"/>
  <c r="H66" i="6"/>
  <c r="H67" i="6"/>
  <c r="H68" i="6"/>
  <c r="H69" i="6"/>
  <c r="H70" i="6"/>
  <c r="H71" i="6"/>
  <c r="H72" i="6"/>
  <c r="H73" i="6"/>
  <c r="L73" i="6" s="1"/>
  <c r="H74" i="6"/>
  <c r="H75" i="6"/>
  <c r="H76" i="6"/>
  <c r="H77" i="6"/>
  <c r="H78" i="6"/>
  <c r="H79" i="6"/>
  <c r="H80" i="6"/>
  <c r="H81" i="6"/>
  <c r="H82" i="6"/>
  <c r="H83" i="6"/>
  <c r="H84" i="6"/>
  <c r="G62" i="6"/>
  <c r="G63" i="6"/>
  <c r="G64" i="6"/>
  <c r="G65" i="6"/>
  <c r="G66" i="6"/>
  <c r="G67" i="6"/>
  <c r="G68" i="6"/>
  <c r="G69" i="6"/>
  <c r="G70" i="6"/>
  <c r="G71" i="6"/>
  <c r="G72" i="6"/>
  <c r="G73" i="6"/>
  <c r="G74" i="6"/>
  <c r="G75" i="6"/>
  <c r="G76" i="6"/>
  <c r="G77" i="6"/>
  <c r="G78" i="6"/>
  <c r="G79" i="6"/>
  <c r="G80" i="6"/>
  <c r="G81" i="6"/>
  <c r="G82" i="6"/>
  <c r="G83" i="6"/>
  <c r="G84" i="6"/>
  <c r="F62" i="6"/>
  <c r="F63" i="6"/>
  <c r="F64" i="6"/>
  <c r="F65" i="6"/>
  <c r="F66" i="6"/>
  <c r="F67" i="6"/>
  <c r="F68" i="6"/>
  <c r="F69" i="6"/>
  <c r="F70" i="6"/>
  <c r="F71" i="6"/>
  <c r="F72" i="6"/>
  <c r="F73" i="6"/>
  <c r="F74" i="6"/>
  <c r="F75" i="6"/>
  <c r="F76" i="6"/>
  <c r="F77" i="6"/>
  <c r="F78" i="6"/>
  <c r="F79" i="6"/>
  <c r="F80" i="6"/>
  <c r="F81" i="6"/>
  <c r="F82" i="6"/>
  <c r="F83" i="6"/>
  <c r="F84" i="6"/>
  <c r="E62" i="6"/>
  <c r="E63" i="6"/>
  <c r="E64" i="6"/>
  <c r="E65" i="6"/>
  <c r="E66" i="6"/>
  <c r="E67" i="6"/>
  <c r="E68" i="6"/>
  <c r="E69" i="6"/>
  <c r="E70" i="6"/>
  <c r="E71" i="6"/>
  <c r="E72" i="6"/>
  <c r="E73" i="6"/>
  <c r="E74" i="6"/>
  <c r="E75" i="6"/>
  <c r="E76" i="6"/>
  <c r="E77" i="6"/>
  <c r="E78" i="6"/>
  <c r="E79" i="6"/>
  <c r="E80" i="6"/>
  <c r="E81" i="6"/>
  <c r="E82" i="6"/>
  <c r="E83" i="6"/>
  <c r="E84" i="6"/>
  <c r="D63" i="6"/>
  <c r="D64" i="6"/>
  <c r="D65" i="6"/>
  <c r="D66" i="6"/>
  <c r="D67" i="6"/>
  <c r="D68" i="6"/>
  <c r="D69" i="6"/>
  <c r="D70" i="6"/>
  <c r="D71" i="6"/>
  <c r="D72" i="6"/>
  <c r="D73" i="6"/>
  <c r="D74" i="6"/>
  <c r="D75" i="6"/>
  <c r="D76" i="6"/>
  <c r="D77" i="6"/>
  <c r="D78" i="6"/>
  <c r="D79" i="6"/>
  <c r="D80" i="6"/>
  <c r="D81" i="6"/>
  <c r="D82" i="6"/>
  <c r="D83" i="6"/>
  <c r="D84" i="6"/>
  <c r="C64" i="6"/>
  <c r="C65" i="6"/>
  <c r="C66" i="6"/>
  <c r="C67" i="6"/>
  <c r="C68" i="6"/>
  <c r="C69" i="6"/>
  <c r="C70" i="6"/>
  <c r="C71" i="6"/>
  <c r="C72" i="6"/>
  <c r="C73" i="6"/>
  <c r="C74" i="6"/>
  <c r="C75" i="6"/>
  <c r="C76" i="6"/>
  <c r="C77" i="6"/>
  <c r="C78" i="6"/>
  <c r="C79" i="6"/>
  <c r="C80" i="6"/>
  <c r="C81" i="6"/>
  <c r="C82" i="6"/>
  <c r="C83" i="6"/>
  <c r="C84" i="6"/>
  <c r="B76" i="5"/>
  <c r="B53" i="5"/>
  <c r="I53" i="5" s="1"/>
  <c r="B44" i="4"/>
  <c r="K54" i="5"/>
  <c r="K55" i="5"/>
  <c r="K56" i="5"/>
  <c r="K57" i="5"/>
  <c r="K58" i="5"/>
  <c r="K59" i="5"/>
  <c r="K60" i="5"/>
  <c r="K61" i="5"/>
  <c r="K62" i="5"/>
  <c r="K63" i="5"/>
  <c r="K64" i="5"/>
  <c r="K65" i="5"/>
  <c r="K66" i="5"/>
  <c r="K67" i="5"/>
  <c r="K68" i="5"/>
  <c r="K69" i="5"/>
  <c r="K70" i="5"/>
  <c r="J60" i="5"/>
  <c r="J61" i="5"/>
  <c r="J62" i="5"/>
  <c r="J63" i="5"/>
  <c r="J64" i="5"/>
  <c r="J65" i="5"/>
  <c r="J66" i="5"/>
  <c r="J67" i="5"/>
  <c r="J68" i="5"/>
  <c r="J69" i="5"/>
  <c r="J70" i="5"/>
  <c r="J59" i="5"/>
  <c r="J58" i="5"/>
  <c r="J57" i="5"/>
  <c r="J56" i="5"/>
  <c r="J55" i="5"/>
  <c r="J54" i="5"/>
  <c r="I54" i="5"/>
  <c r="I55" i="5"/>
  <c r="I56" i="5"/>
  <c r="I57" i="5"/>
  <c r="I58" i="5"/>
  <c r="I59" i="5"/>
  <c r="I60" i="5"/>
  <c r="I61" i="5"/>
  <c r="I62" i="5"/>
  <c r="I63" i="5"/>
  <c r="I64" i="5"/>
  <c r="I65" i="5"/>
  <c r="I66" i="5"/>
  <c r="I67" i="5"/>
  <c r="I68" i="5"/>
  <c r="I69" i="5"/>
  <c r="I70" i="5"/>
  <c r="H54" i="5"/>
  <c r="H55" i="5"/>
  <c r="H56" i="5"/>
  <c r="H57" i="5"/>
  <c r="H58" i="5"/>
  <c r="H59" i="5"/>
  <c r="H60" i="5"/>
  <c r="H61" i="5"/>
  <c r="H62" i="5"/>
  <c r="H63" i="5"/>
  <c r="H64" i="5"/>
  <c r="H65" i="5"/>
  <c r="H66" i="5"/>
  <c r="H67" i="5"/>
  <c r="H68" i="5"/>
  <c r="H69" i="5"/>
  <c r="H70" i="5"/>
  <c r="H53" i="5"/>
  <c r="G53" i="5"/>
  <c r="G54" i="5"/>
  <c r="G55" i="5"/>
  <c r="G56" i="5"/>
  <c r="G57" i="5"/>
  <c r="G58" i="5"/>
  <c r="G59" i="5"/>
  <c r="G60" i="5"/>
  <c r="G61" i="5"/>
  <c r="G62" i="5"/>
  <c r="G63" i="5"/>
  <c r="G64" i="5"/>
  <c r="G65" i="5"/>
  <c r="G66" i="5"/>
  <c r="G67" i="5"/>
  <c r="G68" i="5"/>
  <c r="G69" i="5"/>
  <c r="G70" i="5"/>
  <c r="F53" i="5"/>
  <c r="F54" i="5"/>
  <c r="F55" i="5"/>
  <c r="F56" i="5"/>
  <c r="F57" i="5"/>
  <c r="F58" i="5"/>
  <c r="F59" i="5"/>
  <c r="F60" i="5"/>
  <c r="F61" i="5"/>
  <c r="F62" i="5"/>
  <c r="F63" i="5"/>
  <c r="F64" i="5"/>
  <c r="F65" i="5"/>
  <c r="F66" i="5"/>
  <c r="F67" i="5"/>
  <c r="F68" i="5"/>
  <c r="F69" i="5"/>
  <c r="F70" i="5"/>
  <c r="E53" i="5"/>
  <c r="E54" i="5"/>
  <c r="E55" i="5"/>
  <c r="E56" i="5"/>
  <c r="E57" i="5"/>
  <c r="E58" i="5"/>
  <c r="E59" i="5"/>
  <c r="E60" i="5"/>
  <c r="E61" i="5"/>
  <c r="E62" i="5"/>
  <c r="E63" i="5"/>
  <c r="E64" i="5"/>
  <c r="E65" i="5"/>
  <c r="E66" i="5"/>
  <c r="E67" i="5"/>
  <c r="E68" i="5"/>
  <c r="E69" i="5"/>
  <c r="E70" i="5"/>
  <c r="D53" i="5"/>
  <c r="D54" i="5"/>
  <c r="D55" i="5"/>
  <c r="D56" i="5"/>
  <c r="D57" i="5"/>
  <c r="D58" i="5"/>
  <c r="D59" i="5"/>
  <c r="D60" i="5"/>
  <c r="D61" i="5"/>
  <c r="D62" i="5"/>
  <c r="D63" i="5"/>
  <c r="D64" i="5"/>
  <c r="D65" i="5"/>
  <c r="D66" i="5"/>
  <c r="D67" i="5"/>
  <c r="D68" i="5"/>
  <c r="D69" i="5"/>
  <c r="D70" i="5"/>
  <c r="C53" i="5"/>
  <c r="C54" i="5"/>
  <c r="C55" i="5"/>
  <c r="C56" i="5"/>
  <c r="C57" i="5"/>
  <c r="C58" i="5"/>
  <c r="C59" i="5"/>
  <c r="C60" i="5"/>
  <c r="C61" i="5"/>
  <c r="C62" i="5"/>
  <c r="C63" i="5"/>
  <c r="C64" i="5"/>
  <c r="C65" i="5"/>
  <c r="C66" i="5"/>
  <c r="C67" i="5"/>
  <c r="C68" i="5"/>
  <c r="C69" i="5"/>
  <c r="C70" i="5"/>
  <c r="B54" i="5"/>
  <c r="B55" i="5"/>
  <c r="B56" i="5"/>
  <c r="B57" i="5"/>
  <c r="B58" i="5"/>
  <c r="B59" i="5"/>
  <c r="B60" i="5"/>
  <c r="B61" i="5"/>
  <c r="B62" i="5"/>
  <c r="B63" i="5"/>
  <c r="B64" i="5"/>
  <c r="B65" i="5"/>
  <c r="B66" i="5"/>
  <c r="B67" i="5"/>
  <c r="B68" i="5"/>
  <c r="B69" i="5"/>
  <c r="B70" i="5"/>
  <c r="V26" i="4"/>
  <c r="V25" i="4"/>
  <c r="G85" i="4"/>
  <c r="H85" i="4"/>
  <c r="I85" i="4"/>
  <c r="J85" i="4"/>
  <c r="K85" i="4"/>
  <c r="L85" i="4"/>
  <c r="M85" i="4"/>
  <c r="N85" i="4"/>
  <c r="O85" i="4"/>
  <c r="P85" i="4"/>
  <c r="Q85" i="4"/>
  <c r="R85" i="4"/>
  <c r="C85" i="4"/>
  <c r="D85" i="4"/>
  <c r="E85" i="4"/>
  <c r="F85" i="4"/>
  <c r="B85" i="4"/>
  <c r="B84" i="4"/>
  <c r="C84" i="4"/>
  <c r="D84" i="4"/>
  <c r="E84" i="4"/>
  <c r="F84" i="4"/>
  <c r="G84" i="4"/>
  <c r="H84" i="4"/>
  <c r="I84" i="4"/>
  <c r="J84" i="4"/>
  <c r="K84" i="4"/>
  <c r="L84" i="4"/>
  <c r="M84" i="4"/>
  <c r="N84" i="4"/>
  <c r="O84" i="4"/>
  <c r="P84" i="4"/>
  <c r="Q84" i="4"/>
  <c r="R84" i="4"/>
  <c r="C65" i="4"/>
  <c r="D65" i="4"/>
  <c r="E65" i="4"/>
  <c r="F65" i="4"/>
  <c r="G65" i="4"/>
  <c r="H65" i="4"/>
  <c r="I65" i="4"/>
  <c r="J65" i="4"/>
  <c r="K65" i="4"/>
  <c r="L65" i="4"/>
  <c r="M65" i="4"/>
  <c r="N65" i="4"/>
  <c r="O65" i="4"/>
  <c r="P65" i="4"/>
  <c r="Q65" i="4"/>
  <c r="R65" i="4"/>
  <c r="B65" i="4"/>
  <c r="B64" i="4"/>
  <c r="C64" i="4"/>
  <c r="D64" i="4"/>
  <c r="E64" i="4"/>
  <c r="F64" i="4"/>
  <c r="G64" i="4"/>
  <c r="H64" i="4"/>
  <c r="I64" i="4"/>
  <c r="J64" i="4"/>
  <c r="K64" i="4"/>
  <c r="L64" i="4"/>
  <c r="M64" i="4"/>
  <c r="N64" i="4"/>
  <c r="O64" i="4"/>
  <c r="P64" i="4"/>
  <c r="Q64" i="4"/>
  <c r="R64" i="4"/>
  <c r="C48" i="4"/>
  <c r="D48" i="4"/>
  <c r="E48" i="4"/>
  <c r="F48" i="4"/>
  <c r="G48" i="4"/>
  <c r="H48" i="4"/>
  <c r="I48" i="4"/>
  <c r="J48" i="4"/>
  <c r="K48" i="4"/>
  <c r="L48" i="4"/>
  <c r="M48" i="4"/>
  <c r="N48" i="4"/>
  <c r="O48" i="4"/>
  <c r="P48" i="4"/>
  <c r="Q48" i="4"/>
  <c r="R48" i="4"/>
  <c r="C47" i="4"/>
  <c r="D47" i="4"/>
  <c r="E47" i="4"/>
  <c r="F47" i="4"/>
  <c r="G47" i="4"/>
  <c r="H47" i="4"/>
  <c r="I47" i="4"/>
  <c r="J47" i="4"/>
  <c r="K47" i="4"/>
  <c r="L47" i="4"/>
  <c r="M47" i="4"/>
  <c r="N47" i="4"/>
  <c r="O47" i="4"/>
  <c r="P47" i="4"/>
  <c r="Q47" i="4"/>
  <c r="R47" i="4"/>
  <c r="B48" i="4"/>
  <c r="B47" i="4"/>
  <c r="C46" i="4"/>
  <c r="D46" i="4"/>
  <c r="E46" i="4"/>
  <c r="F46" i="4"/>
  <c r="G46" i="4"/>
  <c r="H46" i="4"/>
  <c r="I46" i="4"/>
  <c r="J46" i="4"/>
  <c r="K46" i="4"/>
  <c r="L46" i="4"/>
  <c r="M46" i="4"/>
  <c r="N46" i="4"/>
  <c r="O46" i="4"/>
  <c r="P46" i="4"/>
  <c r="Q46" i="4"/>
  <c r="R46" i="4"/>
  <c r="B46" i="4"/>
  <c r="B45" i="4"/>
  <c r="C45" i="4"/>
  <c r="D45" i="4"/>
  <c r="E45" i="4"/>
  <c r="F45" i="4"/>
  <c r="G45" i="4"/>
  <c r="H45" i="4"/>
  <c r="I45" i="4"/>
  <c r="J45" i="4"/>
  <c r="K45" i="4"/>
  <c r="L45" i="4"/>
  <c r="M45" i="4"/>
  <c r="N45" i="4"/>
  <c r="O45" i="4"/>
  <c r="P45" i="4"/>
  <c r="Q45" i="4"/>
  <c r="R45" i="4"/>
  <c r="C44" i="4"/>
  <c r="D44" i="4"/>
  <c r="E44" i="4"/>
  <c r="F44" i="4"/>
  <c r="G44" i="4"/>
  <c r="H44" i="4"/>
  <c r="I44" i="4"/>
  <c r="J44" i="4"/>
  <c r="K44" i="4"/>
  <c r="L44" i="4"/>
  <c r="M44" i="4"/>
  <c r="N44" i="4"/>
  <c r="O44" i="4"/>
  <c r="P44" i="4"/>
  <c r="Q44" i="4"/>
  <c r="R44" i="4"/>
  <c r="E19" i="3"/>
  <c r="V28" i="3" s="1"/>
  <c r="W26" i="4"/>
  <c r="W27" i="4"/>
  <c r="W28" i="4"/>
  <c r="W29" i="4"/>
  <c r="W30" i="4"/>
  <c r="W31" i="4"/>
  <c r="W32" i="4"/>
  <c r="W33" i="4"/>
  <c r="W34" i="4"/>
  <c r="W25" i="4"/>
  <c r="V27" i="4"/>
  <c r="V28" i="4"/>
  <c r="V29" i="4"/>
  <c r="V30" i="4"/>
  <c r="V31" i="4"/>
  <c r="V32" i="4"/>
  <c r="Y32" i="4" s="1"/>
  <c r="V33" i="4"/>
  <c r="V34" i="4"/>
  <c r="V12" i="3"/>
  <c r="E31" i="3"/>
  <c r="V40" i="3" s="1"/>
  <c r="W36" i="3"/>
  <c r="W37" i="3"/>
  <c r="W38" i="3"/>
  <c r="W39" i="3"/>
  <c r="W40" i="3"/>
  <c r="E32" i="3"/>
  <c r="F32" i="3"/>
  <c r="G32" i="3"/>
  <c r="H32" i="3"/>
  <c r="I32" i="3"/>
  <c r="J32" i="3"/>
  <c r="K32" i="3"/>
  <c r="L32" i="3"/>
  <c r="M32" i="3"/>
  <c r="N32" i="3"/>
  <c r="O32" i="3"/>
  <c r="P32" i="3"/>
  <c r="Q32" i="3"/>
  <c r="R32" i="3"/>
  <c r="S32" i="3"/>
  <c r="T32" i="3"/>
  <c r="U32" i="3"/>
  <c r="F31" i="3"/>
  <c r="G31" i="3"/>
  <c r="H31" i="3"/>
  <c r="I31" i="3"/>
  <c r="J31" i="3"/>
  <c r="K31" i="3"/>
  <c r="L31" i="3"/>
  <c r="M31" i="3"/>
  <c r="N31" i="3"/>
  <c r="O31" i="3"/>
  <c r="P31" i="3"/>
  <c r="Q31" i="3"/>
  <c r="R31" i="3"/>
  <c r="S31" i="3"/>
  <c r="T31" i="3"/>
  <c r="U31" i="3"/>
  <c r="V16" i="3"/>
  <c r="V15" i="3"/>
  <c r="V14" i="3"/>
  <c r="V13" i="3"/>
  <c r="X15" i="3"/>
  <c r="F21" i="3"/>
  <c r="G21" i="3"/>
  <c r="H21" i="3"/>
  <c r="I21" i="3"/>
  <c r="J21" i="3"/>
  <c r="K21" i="3"/>
  <c r="L21" i="3"/>
  <c r="M21" i="3"/>
  <c r="N21" i="3"/>
  <c r="O21" i="3"/>
  <c r="P21" i="3"/>
  <c r="Q21" i="3"/>
  <c r="R21" i="3"/>
  <c r="S21" i="3"/>
  <c r="T21" i="3"/>
  <c r="U21" i="3"/>
  <c r="E21" i="3"/>
  <c r="E20" i="3"/>
  <c r="F20" i="3"/>
  <c r="G20" i="3"/>
  <c r="H20" i="3"/>
  <c r="I20" i="3"/>
  <c r="J20" i="3"/>
  <c r="K20" i="3"/>
  <c r="L20" i="3"/>
  <c r="M20" i="3"/>
  <c r="N20" i="3"/>
  <c r="O20" i="3"/>
  <c r="P20" i="3"/>
  <c r="Q20" i="3"/>
  <c r="R20" i="3"/>
  <c r="S20" i="3"/>
  <c r="T20" i="3"/>
  <c r="U20" i="3"/>
  <c r="F19" i="3"/>
  <c r="G19" i="3"/>
  <c r="H19" i="3"/>
  <c r="I19" i="3"/>
  <c r="J19" i="3"/>
  <c r="K19" i="3"/>
  <c r="L19" i="3"/>
  <c r="M19" i="3"/>
  <c r="N19" i="3"/>
  <c r="O19" i="3"/>
  <c r="P19" i="3"/>
  <c r="Q19" i="3"/>
  <c r="R19" i="3"/>
  <c r="S19" i="3"/>
  <c r="T19" i="3"/>
  <c r="U19" i="3"/>
  <c r="W12" i="3"/>
  <c r="C19" i="2"/>
  <c r="T31" i="2" s="1"/>
  <c r="X12" i="3"/>
  <c r="W13" i="3"/>
  <c r="X13" i="3"/>
  <c r="W14" i="3"/>
  <c r="X14" i="3"/>
  <c r="W15" i="3"/>
  <c r="W16" i="3"/>
  <c r="X16" i="3"/>
  <c r="T13" i="2"/>
  <c r="D19" i="2"/>
  <c r="E19" i="2"/>
  <c r="F19" i="2"/>
  <c r="G19" i="2"/>
  <c r="H19" i="2"/>
  <c r="I19" i="2"/>
  <c r="J19" i="2"/>
  <c r="K19" i="2"/>
  <c r="L19" i="2"/>
  <c r="M19" i="2"/>
  <c r="N19" i="2"/>
  <c r="O19" i="2"/>
  <c r="P19" i="2"/>
  <c r="Q19" i="2"/>
  <c r="R19" i="2"/>
  <c r="S19" i="2"/>
  <c r="W17" i="2"/>
  <c r="V17" i="2"/>
  <c r="U17" i="2"/>
  <c r="T17" i="2"/>
  <c r="T16" i="2"/>
  <c r="W16" i="2"/>
  <c r="V15" i="2"/>
  <c r="U13" i="2"/>
  <c r="V13" i="2"/>
  <c r="W13" i="2"/>
  <c r="T14" i="2"/>
  <c r="U14" i="2"/>
  <c r="V14" i="2"/>
  <c r="W14" i="2"/>
  <c r="T15" i="2"/>
  <c r="U15" i="2"/>
  <c r="W15" i="2"/>
  <c r="U16" i="2"/>
  <c r="V16" i="2"/>
  <c r="K68" i="10" l="1"/>
  <c r="G76" i="12"/>
  <c r="G115" i="12"/>
  <c r="G107" i="12"/>
  <c r="G99" i="12"/>
  <c r="G91" i="12"/>
  <c r="G83" i="12"/>
  <c r="G75" i="12"/>
  <c r="G114" i="12"/>
  <c r="G106" i="12"/>
  <c r="G98" i="12"/>
  <c r="G90" i="12"/>
  <c r="G82" i="12"/>
  <c r="G74" i="12"/>
  <c r="G117" i="12"/>
  <c r="G109" i="12"/>
  <c r="G101" i="12"/>
  <c r="G93" i="12"/>
  <c r="G85" i="12"/>
  <c r="G77" i="12"/>
  <c r="G69" i="12"/>
  <c r="H98" i="12"/>
  <c r="H103" i="12"/>
  <c r="H95" i="12"/>
  <c r="H102" i="12"/>
  <c r="H94" i="12"/>
  <c r="H101" i="12"/>
  <c r="H93" i="12"/>
  <c r="H99" i="12"/>
  <c r="H105" i="12"/>
  <c r="H97" i="12"/>
  <c r="H104" i="12"/>
  <c r="H96" i="12"/>
  <c r="H100" i="12"/>
  <c r="H76" i="12"/>
  <c r="H72" i="12"/>
  <c r="H81" i="12"/>
  <c r="H69" i="12"/>
  <c r="H80" i="12"/>
  <c r="H90" i="12"/>
  <c r="H89" i="12"/>
  <c r="H77" i="12"/>
  <c r="H88" i="12"/>
  <c r="H86" i="12"/>
  <c r="H85" i="12"/>
  <c r="H73" i="12"/>
  <c r="H84" i="12"/>
  <c r="H87" i="12"/>
  <c r="H91" i="12"/>
  <c r="L202" i="11"/>
  <c r="K202" i="11"/>
  <c r="L205" i="11"/>
  <c r="K205" i="11"/>
  <c r="K193" i="11"/>
  <c r="D231" i="11" s="1"/>
  <c r="L193" i="11"/>
  <c r="G231" i="11" s="1"/>
  <c r="J190" i="11"/>
  <c r="K197" i="11"/>
  <c r="L197" i="11"/>
  <c r="L201" i="11"/>
  <c r="K201" i="11"/>
  <c r="C239" i="11" s="1"/>
  <c r="E239" i="11"/>
  <c r="L221" i="11"/>
  <c r="K221" i="11"/>
  <c r="L227" i="11"/>
  <c r="K227" i="11"/>
  <c r="J192" i="11"/>
  <c r="D239" i="11"/>
  <c r="L207" i="11"/>
  <c r="K207" i="11"/>
  <c r="L210" i="11"/>
  <c r="K210" i="11"/>
  <c r="L203" i="11"/>
  <c r="K203" i="11"/>
  <c r="L217" i="11"/>
  <c r="K217" i="11"/>
  <c r="J219" i="11"/>
  <c r="K218" i="11"/>
  <c r="L218" i="11"/>
  <c r="L223" i="11"/>
  <c r="K223" i="11"/>
  <c r="J200" i="11"/>
  <c r="J191" i="11"/>
  <c r="L206" i="11"/>
  <c r="K206" i="11"/>
  <c r="L208" i="11"/>
  <c r="L209" i="11"/>
  <c r="K209" i="11"/>
  <c r="L213" i="11"/>
  <c r="K213" i="11"/>
  <c r="K216" i="11"/>
  <c r="F235" i="11"/>
  <c r="K198" i="11"/>
  <c r="F232" i="11"/>
  <c r="F236" i="11"/>
  <c r="L237" i="11"/>
  <c r="K226" i="11"/>
  <c r="G236" i="11"/>
  <c r="K195" i="11"/>
  <c r="K199" i="11"/>
  <c r="K211" i="11"/>
  <c r="K215" i="11"/>
  <c r="L222" i="11"/>
  <c r="H232" i="11"/>
  <c r="F233" i="11"/>
  <c r="D234" i="11"/>
  <c r="L234" i="11"/>
  <c r="H236" i="11"/>
  <c r="F237" i="11"/>
  <c r="K225" i="11"/>
  <c r="K194" i="11"/>
  <c r="H231" i="11"/>
  <c r="H235" i="11"/>
  <c r="I232" i="11"/>
  <c r="G233" i="11"/>
  <c r="E234" i="11"/>
  <c r="C235" i="11"/>
  <c r="J235" i="11" s="1"/>
  <c r="G237" i="11"/>
  <c r="K233" i="11"/>
  <c r="G235" i="11"/>
  <c r="G239" i="11"/>
  <c r="K214" i="11"/>
  <c r="I235" i="11"/>
  <c r="I239" i="11"/>
  <c r="L153" i="11"/>
  <c r="K153" i="11"/>
  <c r="L165" i="11"/>
  <c r="K165" i="11"/>
  <c r="L164" i="11"/>
  <c r="K164" i="11"/>
  <c r="L172" i="11"/>
  <c r="K172" i="11"/>
  <c r="L170" i="11"/>
  <c r="K170" i="11"/>
  <c r="L157" i="11"/>
  <c r="K157" i="11"/>
  <c r="L168" i="11"/>
  <c r="K168" i="11"/>
  <c r="L155" i="11"/>
  <c r="K155" i="11"/>
  <c r="L152" i="11"/>
  <c r="K152" i="11"/>
  <c r="L161" i="11"/>
  <c r="K161" i="11"/>
  <c r="L151" i="11"/>
  <c r="K151" i="11"/>
  <c r="L163" i="11"/>
  <c r="K163" i="11"/>
  <c r="L171" i="11"/>
  <c r="K171" i="11"/>
  <c r="L167" i="11"/>
  <c r="K167" i="11"/>
  <c r="L149" i="11"/>
  <c r="K149" i="11"/>
  <c r="L162" i="11"/>
  <c r="K162" i="11"/>
  <c r="L169" i="11"/>
  <c r="K169" i="11"/>
  <c r="L154" i="11"/>
  <c r="K154" i="11"/>
  <c r="L166" i="11"/>
  <c r="K166" i="11"/>
  <c r="K150" i="11"/>
  <c r="K158" i="11"/>
  <c r="K159" i="11"/>
  <c r="K148" i="11"/>
  <c r="K156" i="11"/>
  <c r="K160" i="11"/>
  <c r="L137" i="11"/>
  <c r="K137" i="11"/>
  <c r="L125" i="11"/>
  <c r="K125" i="11"/>
  <c r="K136" i="11"/>
  <c r="L136" i="11"/>
  <c r="L147" i="11"/>
  <c r="K147" i="11"/>
  <c r="L124" i="11"/>
  <c r="K124" i="11"/>
  <c r="L135" i="11"/>
  <c r="K135" i="11"/>
  <c r="L133" i="11"/>
  <c r="K133" i="11"/>
  <c r="L144" i="11"/>
  <c r="K144" i="11"/>
  <c r="K132" i="11"/>
  <c r="L132" i="11"/>
  <c r="L143" i="11"/>
  <c r="K143" i="11"/>
  <c r="L127" i="11"/>
  <c r="K127" i="11"/>
  <c r="L145" i="11"/>
  <c r="K145" i="11"/>
  <c r="L131" i="11"/>
  <c r="K131" i="11"/>
  <c r="L141" i="11"/>
  <c r="K141" i="11"/>
  <c r="L123" i="11"/>
  <c r="K123" i="11"/>
  <c r="L129" i="11"/>
  <c r="K129" i="11"/>
  <c r="K140" i="11"/>
  <c r="L140" i="11"/>
  <c r="L128" i="11"/>
  <c r="K128" i="11"/>
  <c r="L139" i="11"/>
  <c r="K139" i="11"/>
  <c r="K130" i="11"/>
  <c r="K134" i="11"/>
  <c r="K138" i="11"/>
  <c r="K142" i="11"/>
  <c r="K146" i="11"/>
  <c r="L126" i="11"/>
  <c r="J88" i="10"/>
  <c r="J83" i="10"/>
  <c r="J71" i="10"/>
  <c r="J69" i="10"/>
  <c r="J73" i="10"/>
  <c r="J76" i="10"/>
  <c r="J72" i="10"/>
  <c r="J89" i="10"/>
  <c r="J91" i="10"/>
  <c r="J79" i="10"/>
  <c r="J75" i="10"/>
  <c r="J81" i="10"/>
  <c r="J84" i="10"/>
  <c r="J74" i="10"/>
  <c r="J77" i="10"/>
  <c r="J82" i="10"/>
  <c r="J85" i="10"/>
  <c r="J92" i="10"/>
  <c r="J87" i="10"/>
  <c r="J80" i="10"/>
  <c r="J90" i="10"/>
  <c r="J70" i="10"/>
  <c r="J78" i="10"/>
  <c r="J86" i="10"/>
  <c r="J92" i="8"/>
  <c r="J84" i="8"/>
  <c r="K84" i="8" s="1"/>
  <c r="J76" i="8"/>
  <c r="K76" i="8" s="1"/>
  <c r="J88" i="8"/>
  <c r="K88" i="8" s="1"/>
  <c r="J80" i="8"/>
  <c r="K80" i="8" s="1"/>
  <c r="J89" i="8"/>
  <c r="K89" i="8" s="1"/>
  <c r="J81" i="8"/>
  <c r="K81" i="8" s="1"/>
  <c r="J73" i="8"/>
  <c r="K73" i="8" s="1"/>
  <c r="J72" i="8"/>
  <c r="K72" i="8" s="1"/>
  <c r="J85" i="8"/>
  <c r="K85" i="8" s="1"/>
  <c r="J77" i="8"/>
  <c r="K77" i="8" s="1"/>
  <c r="J69" i="8"/>
  <c r="J91" i="8"/>
  <c r="L91" i="8" s="1"/>
  <c r="J82" i="8"/>
  <c r="K82" i="8" s="1"/>
  <c r="J86" i="8"/>
  <c r="L86" i="8" s="1"/>
  <c r="J78" i="8"/>
  <c r="K78" i="8" s="1"/>
  <c r="J70" i="8"/>
  <c r="K70" i="8" s="1"/>
  <c r="J83" i="8"/>
  <c r="K83" i="8" s="1"/>
  <c r="J90" i="8"/>
  <c r="K90" i="8" s="1"/>
  <c r="J75" i="8"/>
  <c r="K75" i="8" s="1"/>
  <c r="J74" i="8"/>
  <c r="K74" i="8" s="1"/>
  <c r="J87" i="8"/>
  <c r="K87" i="8" s="1"/>
  <c r="J79" i="8"/>
  <c r="K79" i="8" s="1"/>
  <c r="J71" i="8"/>
  <c r="K71" i="8" s="1"/>
  <c r="J68" i="8"/>
  <c r="K68" i="8" s="1"/>
  <c r="L92" i="8"/>
  <c r="K92" i="8"/>
  <c r="L88" i="8"/>
  <c r="L80" i="8"/>
  <c r="H92" i="7"/>
  <c r="H105" i="7"/>
  <c r="H101" i="7"/>
  <c r="I101" i="7" s="1"/>
  <c r="H93" i="7"/>
  <c r="H99" i="7"/>
  <c r="J99" i="7" s="1"/>
  <c r="J93" i="7"/>
  <c r="I93" i="7"/>
  <c r="J101" i="7"/>
  <c r="J98" i="7"/>
  <c r="I98" i="7"/>
  <c r="I96" i="7"/>
  <c r="J96" i="7"/>
  <c r="I104" i="7"/>
  <c r="J104" i="7"/>
  <c r="J91" i="7"/>
  <c r="I91" i="7"/>
  <c r="J94" i="7"/>
  <c r="I94" i="7"/>
  <c r="J102" i="7"/>
  <c r="I102" i="7"/>
  <c r="J97" i="7"/>
  <c r="I97" i="7"/>
  <c r="J105" i="7"/>
  <c r="I105" i="7"/>
  <c r="I92" i="7"/>
  <c r="J92" i="7"/>
  <c r="I100" i="7"/>
  <c r="J100" i="7"/>
  <c r="J95" i="7"/>
  <c r="I95" i="7"/>
  <c r="J103" i="7"/>
  <c r="I103" i="7"/>
  <c r="H77" i="7"/>
  <c r="J77" i="7" s="1"/>
  <c r="H69" i="7"/>
  <c r="J69" i="7" s="1"/>
  <c r="J76" i="7"/>
  <c r="I76" i="7"/>
  <c r="J71" i="7"/>
  <c r="I71" i="7"/>
  <c r="J79" i="7"/>
  <c r="I79" i="7"/>
  <c r="I77" i="7"/>
  <c r="J82" i="7"/>
  <c r="I82" i="7"/>
  <c r="J72" i="7"/>
  <c r="I72" i="7"/>
  <c r="J80" i="7"/>
  <c r="I80" i="7"/>
  <c r="J75" i="7"/>
  <c r="I75" i="7"/>
  <c r="J83" i="7"/>
  <c r="I83" i="7"/>
  <c r="J74" i="7"/>
  <c r="I70" i="7"/>
  <c r="J70" i="7"/>
  <c r="I78" i="7"/>
  <c r="J78" i="7"/>
  <c r="J73" i="7"/>
  <c r="I73" i="7"/>
  <c r="J81" i="7"/>
  <c r="I81" i="7"/>
  <c r="J54" i="7"/>
  <c r="I54" i="7"/>
  <c r="I49" i="7"/>
  <c r="J49" i="7"/>
  <c r="J47" i="7"/>
  <c r="J55" i="7"/>
  <c r="I55" i="7"/>
  <c r="J57" i="7"/>
  <c r="I57" i="7"/>
  <c r="J60" i="7"/>
  <c r="I60" i="7"/>
  <c r="J53" i="7"/>
  <c r="I53" i="7"/>
  <c r="J61" i="7"/>
  <c r="I61" i="7"/>
  <c r="J48" i="7"/>
  <c r="I48" i="7"/>
  <c r="J56" i="7"/>
  <c r="I56" i="7"/>
  <c r="J50" i="7"/>
  <c r="I50" i="7"/>
  <c r="J52" i="7"/>
  <c r="I52" i="7"/>
  <c r="J58" i="7"/>
  <c r="I58" i="7"/>
  <c r="J51" i="7"/>
  <c r="I51" i="7"/>
  <c r="J59" i="7"/>
  <c r="I59" i="7"/>
  <c r="L62" i="6"/>
  <c r="K80" i="6"/>
  <c r="K65" i="6"/>
  <c r="L64" i="6"/>
  <c r="L77" i="6"/>
  <c r="L76" i="6"/>
  <c r="K68" i="6"/>
  <c r="L75" i="6"/>
  <c r="L67" i="6"/>
  <c r="K74" i="6"/>
  <c r="L66" i="6"/>
  <c r="L78" i="6"/>
  <c r="L69" i="6"/>
  <c r="K70" i="6"/>
  <c r="L70" i="6"/>
  <c r="L68" i="6"/>
  <c r="L79" i="6"/>
  <c r="K79" i="6"/>
  <c r="K64" i="6"/>
  <c r="L63" i="6"/>
  <c r="K63" i="6"/>
  <c r="L72" i="6"/>
  <c r="K72" i="6"/>
  <c r="L71" i="6"/>
  <c r="K71" i="6"/>
  <c r="K73" i="6"/>
  <c r="K77" i="6"/>
  <c r="L65" i="6"/>
  <c r="J53" i="5"/>
  <c r="K53" i="5"/>
  <c r="L53" i="5" s="1"/>
  <c r="Z25" i="4"/>
  <c r="Z27" i="4"/>
  <c r="Y34" i="4"/>
  <c r="Z26" i="4"/>
  <c r="W74" i="4"/>
  <c r="V71" i="4"/>
  <c r="V78" i="4"/>
  <c r="V70" i="4"/>
  <c r="W73" i="4"/>
  <c r="V58" i="4"/>
  <c r="W58" i="4" s="1"/>
  <c r="V77" i="4"/>
  <c r="W70" i="4"/>
  <c r="W72" i="4"/>
  <c r="AG70" i="4"/>
  <c r="V76" i="4"/>
  <c r="W79" i="4"/>
  <c r="W71" i="4"/>
  <c r="X71" i="4" s="1"/>
  <c r="Z71" i="4" s="1"/>
  <c r="V75" i="4"/>
  <c r="W78" i="4"/>
  <c r="V74" i="4"/>
  <c r="X74" i="4" s="1"/>
  <c r="Z74" i="4" s="1"/>
  <c r="W77" i="4"/>
  <c r="V73" i="4"/>
  <c r="W76" i="4"/>
  <c r="V72" i="4"/>
  <c r="X72" i="4" s="1"/>
  <c r="Z72" i="4" s="1"/>
  <c r="W75" i="4"/>
  <c r="V59" i="4"/>
  <c r="W59" i="4" s="1"/>
  <c r="V79" i="4"/>
  <c r="V57" i="4"/>
  <c r="V56" i="4"/>
  <c r="V55" i="4"/>
  <c r="Y31" i="4"/>
  <c r="V52" i="4"/>
  <c r="W52" i="4" s="1"/>
  <c r="V54" i="4"/>
  <c r="W54" i="4" s="1"/>
  <c r="Z30" i="4"/>
  <c r="X32" i="4"/>
  <c r="V61" i="4"/>
  <c r="V53" i="4"/>
  <c r="W53" i="4" s="1"/>
  <c r="V60" i="4"/>
  <c r="X30" i="4"/>
  <c r="AA30" i="4" s="1"/>
  <c r="X29" i="4"/>
  <c r="AA29" i="4" s="1"/>
  <c r="Z34" i="4"/>
  <c r="Z28" i="4"/>
  <c r="Z33" i="4"/>
  <c r="X28" i="4"/>
  <c r="AA28" i="4" s="1"/>
  <c r="Y29" i="4"/>
  <c r="Z32" i="4"/>
  <c r="X25" i="4"/>
  <c r="AA25" i="4" s="1"/>
  <c r="X27" i="4"/>
  <c r="Y28" i="4"/>
  <c r="Z31" i="4"/>
  <c r="X34" i="4"/>
  <c r="X26" i="4"/>
  <c r="AA26" i="4" s="1"/>
  <c r="Y27" i="4"/>
  <c r="AA32" i="4"/>
  <c r="Y30" i="4"/>
  <c r="X33" i="4"/>
  <c r="Y26" i="4"/>
  <c r="Z29" i="4"/>
  <c r="Y33" i="4"/>
  <c r="Y25" i="4"/>
  <c r="AB32" i="4"/>
  <c r="X31" i="4"/>
  <c r="V24" i="3"/>
  <c r="W24" i="3" s="1"/>
  <c r="V26" i="3"/>
  <c r="W26" i="3" s="1"/>
  <c r="V25" i="3"/>
  <c r="W25" i="3" s="1"/>
  <c r="X25" i="3" s="1"/>
  <c r="V27" i="3"/>
  <c r="W27" i="3" s="1"/>
  <c r="X27" i="3" s="1"/>
  <c r="V39" i="3"/>
  <c r="V38" i="3"/>
  <c r="V37" i="3"/>
  <c r="V36" i="3"/>
  <c r="W28" i="3"/>
  <c r="X28" i="3" s="1"/>
  <c r="X24" i="3"/>
  <c r="T27" i="2"/>
  <c r="T30" i="2"/>
  <c r="T29" i="2"/>
  <c r="T28" i="2"/>
  <c r="U27" i="2"/>
  <c r="B97" i="10" l="1"/>
  <c r="B98" i="10"/>
  <c r="H68" i="12"/>
  <c r="H70" i="12"/>
  <c r="H74" i="12"/>
  <c r="H82" i="12"/>
  <c r="H111" i="12"/>
  <c r="H78" i="12"/>
  <c r="H116" i="12" s="1"/>
  <c r="H92" i="12"/>
  <c r="H119" i="12"/>
  <c r="H110" i="12"/>
  <c r="H112" i="12"/>
  <c r="H108" i="12"/>
  <c r="H114" i="12"/>
  <c r="H120" i="12"/>
  <c r="H115" i="12"/>
  <c r="H118" i="12"/>
  <c r="H107" i="12"/>
  <c r="H83" i="12"/>
  <c r="H79" i="12"/>
  <c r="H75" i="12"/>
  <c r="H71" i="12"/>
  <c r="B136" i="8"/>
  <c r="B97" i="8"/>
  <c r="L69" i="8"/>
  <c r="K69" i="8"/>
  <c r="L235" i="11"/>
  <c r="K235" i="11"/>
  <c r="C231" i="11"/>
  <c r="I231" i="11"/>
  <c r="K200" i="11"/>
  <c r="L200" i="11"/>
  <c r="H239" i="11"/>
  <c r="G229" i="11"/>
  <c r="D238" i="11"/>
  <c r="L190" i="11"/>
  <c r="K190" i="11"/>
  <c r="L191" i="11"/>
  <c r="K191" i="11"/>
  <c r="C229" i="11" s="1"/>
  <c r="I229" i="11"/>
  <c r="F239" i="11"/>
  <c r="J239" i="11" s="1"/>
  <c r="E231" i="11"/>
  <c r="K192" i="11"/>
  <c r="L192" i="11"/>
  <c r="D230" i="11" s="1"/>
  <c r="F231" i="11"/>
  <c r="L219" i="11"/>
  <c r="K219" i="11"/>
  <c r="I230" i="11"/>
  <c r="M123" i="11"/>
  <c r="K103" i="10"/>
  <c r="C103" i="10"/>
  <c r="L102" i="10"/>
  <c r="D102" i="10"/>
  <c r="M101" i="10"/>
  <c r="E101" i="10"/>
  <c r="N100" i="10"/>
  <c r="F100" i="10"/>
  <c r="O99" i="10"/>
  <c r="G99" i="10"/>
  <c r="P98" i="10"/>
  <c r="H98" i="10"/>
  <c r="Q97" i="10"/>
  <c r="I97" i="10"/>
  <c r="I100" i="10"/>
  <c r="R103" i="10"/>
  <c r="J103" i="10"/>
  <c r="B103" i="10"/>
  <c r="K102" i="10"/>
  <c r="C102" i="10"/>
  <c r="L101" i="10"/>
  <c r="D101" i="10"/>
  <c r="M100" i="10"/>
  <c r="E100" i="10"/>
  <c r="N99" i="10"/>
  <c r="F99" i="10"/>
  <c r="O98" i="10"/>
  <c r="G98" i="10"/>
  <c r="P97" i="10"/>
  <c r="H97" i="10"/>
  <c r="R99" i="10"/>
  <c r="Q103" i="10"/>
  <c r="I103" i="10"/>
  <c r="R102" i="10"/>
  <c r="J102" i="10"/>
  <c r="B102" i="10"/>
  <c r="K101" i="10"/>
  <c r="C101" i="10"/>
  <c r="L100" i="10"/>
  <c r="D100" i="10"/>
  <c r="M99" i="10"/>
  <c r="E99" i="10"/>
  <c r="N98" i="10"/>
  <c r="F98" i="10"/>
  <c r="O97" i="10"/>
  <c r="G97" i="10"/>
  <c r="Q100" i="10"/>
  <c r="P103" i="10"/>
  <c r="H103" i="10"/>
  <c r="Q102" i="10"/>
  <c r="I102" i="10"/>
  <c r="R101" i="10"/>
  <c r="J101" i="10"/>
  <c r="B101" i="10"/>
  <c r="K100" i="10"/>
  <c r="C100" i="10"/>
  <c r="L99" i="10"/>
  <c r="D99" i="10"/>
  <c r="M98" i="10"/>
  <c r="E98" i="10"/>
  <c r="N97" i="10"/>
  <c r="F97" i="10"/>
  <c r="O103" i="10"/>
  <c r="G103" i="10"/>
  <c r="P102" i="10"/>
  <c r="H102" i="10"/>
  <c r="Q101" i="10"/>
  <c r="I101" i="10"/>
  <c r="R100" i="10"/>
  <c r="J100" i="10"/>
  <c r="B100" i="10"/>
  <c r="K99" i="10"/>
  <c r="C99" i="10"/>
  <c r="L98" i="10"/>
  <c r="D98" i="10"/>
  <c r="M97" i="10"/>
  <c r="E97" i="10"/>
  <c r="F103" i="10"/>
  <c r="O102" i="10"/>
  <c r="G102" i="10"/>
  <c r="P101" i="10"/>
  <c r="H101" i="10"/>
  <c r="J99" i="10"/>
  <c r="B99" i="10"/>
  <c r="K98" i="10"/>
  <c r="C98" i="10"/>
  <c r="N103" i="10"/>
  <c r="M103" i="10"/>
  <c r="E103" i="10"/>
  <c r="N102" i="10"/>
  <c r="F102" i="10"/>
  <c r="O101" i="10"/>
  <c r="G101" i="10"/>
  <c r="P100" i="10"/>
  <c r="H100" i="10"/>
  <c r="Q99" i="10"/>
  <c r="I99" i="10"/>
  <c r="R98" i="10"/>
  <c r="J98" i="10"/>
  <c r="K97" i="10"/>
  <c r="C97" i="10"/>
  <c r="L97" i="10"/>
  <c r="L103" i="10"/>
  <c r="D103" i="10"/>
  <c r="M102" i="10"/>
  <c r="E102" i="10"/>
  <c r="N101" i="10"/>
  <c r="F101" i="10"/>
  <c r="O100" i="10"/>
  <c r="G100" i="10"/>
  <c r="P99" i="10"/>
  <c r="H99" i="10"/>
  <c r="Q98" i="10"/>
  <c r="I98" i="10"/>
  <c r="R97" i="10"/>
  <c r="J97" i="10"/>
  <c r="D97" i="10"/>
  <c r="K91" i="8"/>
  <c r="L82" i="8"/>
  <c r="L73" i="8"/>
  <c r="L81" i="8"/>
  <c r="L74" i="8"/>
  <c r="L79" i="8"/>
  <c r="L72" i="8"/>
  <c r="L78" i="8"/>
  <c r="L70" i="8"/>
  <c r="L85" i="8"/>
  <c r="L77" i="8"/>
  <c r="K86" i="8"/>
  <c r="L87" i="8"/>
  <c r="L75" i="8"/>
  <c r="L71" i="8"/>
  <c r="L68" i="8"/>
  <c r="L90" i="8"/>
  <c r="L89" i="8"/>
  <c r="L84" i="8"/>
  <c r="L76" i="8"/>
  <c r="L83" i="8"/>
  <c r="I99" i="7"/>
  <c r="I69" i="7"/>
  <c r="D66" i="7"/>
  <c r="C66" i="7"/>
  <c r="C65" i="7"/>
  <c r="D65" i="7"/>
  <c r="C64" i="7"/>
  <c r="D64" i="7"/>
  <c r="D89" i="6"/>
  <c r="D95" i="6"/>
  <c r="Q92" i="6"/>
  <c r="M94" i="6"/>
  <c r="H90" i="6"/>
  <c r="N93" i="6"/>
  <c r="R95" i="6"/>
  <c r="H94" i="6"/>
  <c r="C90" i="6"/>
  <c r="D90" i="6"/>
  <c r="K95" i="6"/>
  <c r="R94" i="6"/>
  <c r="Q90" i="6"/>
  <c r="I93" i="6"/>
  <c r="C93" i="6"/>
  <c r="H92" i="6"/>
  <c r="P92" i="6"/>
  <c r="R92" i="6"/>
  <c r="K76" i="6"/>
  <c r="K69" i="6"/>
  <c r="K67" i="6"/>
  <c r="L74" i="6"/>
  <c r="M62" i="6" s="1"/>
  <c r="K66" i="6"/>
  <c r="L89" i="6" s="1"/>
  <c r="K75" i="6"/>
  <c r="N91" i="6" s="1"/>
  <c r="K78" i="6"/>
  <c r="C77" i="5"/>
  <c r="C78" i="5"/>
  <c r="C79" i="5"/>
  <c r="C80" i="5"/>
  <c r="C81" i="5"/>
  <c r="C82" i="5"/>
  <c r="R82" i="5"/>
  <c r="N79" i="5"/>
  <c r="D77" i="5"/>
  <c r="D76" i="5"/>
  <c r="G81" i="5"/>
  <c r="K78" i="5"/>
  <c r="I76" i="5"/>
  <c r="H82" i="5"/>
  <c r="N80" i="5"/>
  <c r="B77" i="5"/>
  <c r="K82" i="5"/>
  <c r="K81" i="5"/>
  <c r="B82" i="5"/>
  <c r="I80" i="5"/>
  <c r="Q80" i="5"/>
  <c r="G79" i="5"/>
  <c r="O79" i="5"/>
  <c r="G78" i="5"/>
  <c r="O78" i="5"/>
  <c r="E77" i="5"/>
  <c r="M77" i="5"/>
  <c r="E76" i="5"/>
  <c r="M76" i="5"/>
  <c r="E82" i="5"/>
  <c r="E81" i="5"/>
  <c r="B80" i="5"/>
  <c r="I78" i="5"/>
  <c r="G77" i="5"/>
  <c r="G76" i="5"/>
  <c r="F82" i="5"/>
  <c r="N81" i="5"/>
  <c r="L80" i="5"/>
  <c r="J79" i="5"/>
  <c r="R79" i="5"/>
  <c r="H77" i="5"/>
  <c r="H76" i="5"/>
  <c r="E80" i="5"/>
  <c r="K79" i="5"/>
  <c r="Q77" i="5"/>
  <c r="P82" i="5"/>
  <c r="D79" i="5"/>
  <c r="J77" i="5"/>
  <c r="D82" i="5"/>
  <c r="L82" i="5"/>
  <c r="D81" i="5"/>
  <c r="L81" i="5"/>
  <c r="B81" i="5"/>
  <c r="J80" i="5"/>
  <c r="R80" i="5"/>
  <c r="H79" i="5"/>
  <c r="P79" i="5"/>
  <c r="H78" i="5"/>
  <c r="P78" i="5"/>
  <c r="F77" i="5"/>
  <c r="N77" i="5"/>
  <c r="F76" i="5"/>
  <c r="N76" i="5"/>
  <c r="M82" i="5"/>
  <c r="M81" i="5"/>
  <c r="K80" i="5"/>
  <c r="I79" i="5"/>
  <c r="Q79" i="5"/>
  <c r="Q78" i="5"/>
  <c r="O77" i="5"/>
  <c r="O76" i="5"/>
  <c r="F81" i="5"/>
  <c r="D80" i="5"/>
  <c r="B79" i="5"/>
  <c r="J78" i="5"/>
  <c r="P77" i="5"/>
  <c r="O82" i="5"/>
  <c r="M80" i="5"/>
  <c r="I77" i="5"/>
  <c r="F80" i="5"/>
  <c r="L78" i="5"/>
  <c r="J76" i="5"/>
  <c r="N82" i="5"/>
  <c r="R78" i="5"/>
  <c r="P76" i="5"/>
  <c r="O81" i="5"/>
  <c r="Q76" i="5"/>
  <c r="H81" i="5"/>
  <c r="L79" i="5"/>
  <c r="R77" i="5"/>
  <c r="I82" i="5"/>
  <c r="Q82" i="5"/>
  <c r="I81" i="5"/>
  <c r="Q81" i="5"/>
  <c r="G80" i="5"/>
  <c r="O80" i="5"/>
  <c r="E79" i="5"/>
  <c r="M79" i="5"/>
  <c r="E78" i="5"/>
  <c r="M78" i="5"/>
  <c r="K77" i="5"/>
  <c r="C76" i="5"/>
  <c r="K76" i="5"/>
  <c r="J82" i="5"/>
  <c r="J81" i="5"/>
  <c r="R81" i="5"/>
  <c r="H80" i="5"/>
  <c r="P80" i="5"/>
  <c r="F79" i="5"/>
  <c r="F78" i="5"/>
  <c r="N78" i="5"/>
  <c r="L77" i="5"/>
  <c r="L76" i="5"/>
  <c r="G82" i="5"/>
  <c r="B78" i="5"/>
  <c r="P81" i="5"/>
  <c r="D78" i="5"/>
  <c r="R76" i="5"/>
  <c r="W55" i="4"/>
  <c r="X79" i="4"/>
  <c r="X59" i="4"/>
  <c r="Y59" i="4" s="1"/>
  <c r="AB29" i="4"/>
  <c r="X77" i="4"/>
  <c r="Z77" i="4" s="1"/>
  <c r="X75" i="4"/>
  <c r="Z75" i="4" s="1"/>
  <c r="X70" i="4"/>
  <c r="X76" i="4"/>
  <c r="Z76" i="4" s="1"/>
  <c r="X78" i="4"/>
  <c r="Z78" i="4" s="1"/>
  <c r="AB31" i="4"/>
  <c r="X73" i="4"/>
  <c r="Z73" i="4" s="1"/>
  <c r="AB25" i="4"/>
  <c r="AC25" i="4" s="1"/>
  <c r="AE25" i="4" s="1"/>
  <c r="X58" i="4"/>
  <c r="Y58" i="4" s="1"/>
  <c r="AB30" i="4"/>
  <c r="AC30" i="4" s="1"/>
  <c r="AE30" i="4" s="1"/>
  <c r="W56" i="4"/>
  <c r="X56" i="4" s="1"/>
  <c r="W57" i="4"/>
  <c r="X57" i="4" s="1"/>
  <c r="X54" i="4"/>
  <c r="Y54" i="4" s="1"/>
  <c r="Z54" i="4" s="1"/>
  <c r="AA54" i="4" s="1"/>
  <c r="AC54" i="4" s="1"/>
  <c r="AB26" i="4"/>
  <c r="W60" i="4"/>
  <c r="X52" i="4"/>
  <c r="Y52" i="4" s="1"/>
  <c r="X53" i="4"/>
  <c r="W61" i="4"/>
  <c r="AB27" i="4"/>
  <c r="AC32" i="4"/>
  <c r="AE32" i="4" s="1"/>
  <c r="AC29" i="4"/>
  <c r="AE29" i="4" s="1"/>
  <c r="AC26" i="4"/>
  <c r="AE26" i="4" s="1"/>
  <c r="AA27" i="4"/>
  <c r="AB33" i="4"/>
  <c r="AA33" i="4"/>
  <c r="AC33" i="4" s="1"/>
  <c r="AE33" i="4" s="1"/>
  <c r="AB28" i="4"/>
  <c r="AC28" i="4" s="1"/>
  <c r="AE28" i="4" s="1"/>
  <c r="AB34" i="4"/>
  <c r="AA31" i="4"/>
  <c r="AC31" i="4" s="1"/>
  <c r="AE31" i="4" s="1"/>
  <c r="AA34" i="4"/>
  <c r="AC34" i="4" s="1"/>
  <c r="AE34" i="4" s="1"/>
  <c r="X26" i="3"/>
  <c r="I126" i="12" l="1"/>
  <c r="B127" i="12"/>
  <c r="J126" i="12"/>
  <c r="D126" i="12"/>
  <c r="L126" i="12"/>
  <c r="E126" i="12"/>
  <c r="M126" i="12"/>
  <c r="F126" i="12"/>
  <c r="G126" i="12"/>
  <c r="H126" i="12"/>
  <c r="C126" i="12"/>
  <c r="K126" i="12"/>
  <c r="N68" i="12" a="1"/>
  <c r="N68" i="12" s="1"/>
  <c r="F129" i="12"/>
  <c r="B129" i="12"/>
  <c r="J128" i="12"/>
  <c r="E127" i="12"/>
  <c r="M127" i="12"/>
  <c r="G129" i="12"/>
  <c r="C128" i="12"/>
  <c r="K128" i="12"/>
  <c r="F127" i="12"/>
  <c r="H129" i="12"/>
  <c r="D128" i="12"/>
  <c r="L128" i="12"/>
  <c r="G127" i="12"/>
  <c r="E128" i="12"/>
  <c r="I129" i="12"/>
  <c r="J129" i="12"/>
  <c r="F128" i="12"/>
  <c r="B128" i="12"/>
  <c r="I127" i="12"/>
  <c r="H127" i="12"/>
  <c r="C129" i="12"/>
  <c r="K129" i="12"/>
  <c r="G128" i="12"/>
  <c r="J127" i="12"/>
  <c r="D129" i="12"/>
  <c r="L129" i="12"/>
  <c r="H128" i="12"/>
  <c r="C127" i="12"/>
  <c r="K127" i="12"/>
  <c r="M128" i="12"/>
  <c r="E129" i="12"/>
  <c r="M129" i="12"/>
  <c r="I128" i="12"/>
  <c r="D127" i="12"/>
  <c r="L127" i="12"/>
  <c r="H106" i="12"/>
  <c r="N106" i="12" s="1" a="1"/>
  <c r="N106" i="12" s="1"/>
  <c r="H113" i="12"/>
  <c r="H121" i="12"/>
  <c r="H117" i="12"/>
  <c r="H109" i="12"/>
  <c r="L239" i="11"/>
  <c r="K239" i="11"/>
  <c r="G228" i="11"/>
  <c r="C230" i="11"/>
  <c r="F230" i="11"/>
  <c r="H230" i="11"/>
  <c r="G230" i="11"/>
  <c r="M190" i="11"/>
  <c r="D229" i="11"/>
  <c r="J229" i="11" s="1"/>
  <c r="H229" i="11"/>
  <c r="E229" i="11"/>
  <c r="H238" i="11"/>
  <c r="F238" i="11"/>
  <c r="G238" i="11"/>
  <c r="C238" i="11"/>
  <c r="I238" i="11"/>
  <c r="E230" i="11"/>
  <c r="E238" i="11"/>
  <c r="F229" i="11"/>
  <c r="J231" i="11"/>
  <c r="M68" i="8"/>
  <c r="Q89" i="6"/>
  <c r="Q91" i="6"/>
  <c r="L92" i="6"/>
  <c r="O95" i="6"/>
  <c r="J92" i="6"/>
  <c r="M93" i="6"/>
  <c r="F94" i="6"/>
  <c r="G92" i="6"/>
  <c r="D91" i="6"/>
  <c r="I95" i="6"/>
  <c r="R90" i="6"/>
  <c r="O94" i="6"/>
  <c r="I91" i="6"/>
  <c r="N95" i="6"/>
  <c r="R93" i="6"/>
  <c r="G89" i="6"/>
  <c r="C109" i="6" s="1"/>
  <c r="K89" i="6"/>
  <c r="M95" i="6"/>
  <c r="F93" i="6"/>
  <c r="D94" i="6"/>
  <c r="E90" i="6"/>
  <c r="B95" i="6"/>
  <c r="C95" i="6"/>
  <c r="G90" i="6"/>
  <c r="H93" i="6"/>
  <c r="N92" i="6"/>
  <c r="L90" i="6"/>
  <c r="J90" i="6"/>
  <c r="G94" i="6"/>
  <c r="B92" i="6"/>
  <c r="F95" i="6"/>
  <c r="J93" i="6"/>
  <c r="H89" i="6"/>
  <c r="C89" i="6"/>
  <c r="Q95" i="6"/>
  <c r="E94" i="6"/>
  <c r="E95" i="6"/>
  <c r="P89" i="6"/>
  <c r="I90" i="6"/>
  <c r="B91" i="6"/>
  <c r="I94" i="6"/>
  <c r="F92" i="6"/>
  <c r="M91" i="6"/>
  <c r="K91" i="6"/>
  <c r="P95" i="6"/>
  <c r="K92" i="6"/>
  <c r="N90" i="6"/>
  <c r="B94" i="6"/>
  <c r="H103" i="6" s="1"/>
  <c r="F89" i="6"/>
  <c r="J89" i="6"/>
  <c r="J94" i="6"/>
  <c r="N89" i="6"/>
  <c r="E93" i="6"/>
  <c r="R91" i="6"/>
  <c r="M90" i="6"/>
  <c r="F91" i="6"/>
  <c r="Q93" i="6"/>
  <c r="J95" i="6"/>
  <c r="O93" i="6"/>
  <c r="O92" i="6"/>
  <c r="C91" i="6"/>
  <c r="H95" i="6"/>
  <c r="C92" i="6"/>
  <c r="F90" i="6"/>
  <c r="D114" i="6" s="1"/>
  <c r="K94" i="6"/>
  <c r="M89" i="6"/>
  <c r="B90" i="6"/>
  <c r="E91" i="6"/>
  <c r="I92" i="6"/>
  <c r="O90" i="6"/>
  <c r="K93" i="6"/>
  <c r="H91" i="6"/>
  <c r="B93" i="6"/>
  <c r="L94" i="6"/>
  <c r="R89" i="6"/>
  <c r="G93" i="6"/>
  <c r="P93" i="6"/>
  <c r="M92" i="6"/>
  <c r="O89" i="6"/>
  <c r="L93" i="6"/>
  <c r="O91" i="6"/>
  <c r="C94" i="6"/>
  <c r="E89" i="6"/>
  <c r="I89" i="6"/>
  <c r="L91" i="6"/>
  <c r="J91" i="6"/>
  <c r="P91" i="6"/>
  <c r="D92" i="6"/>
  <c r="N94" i="6"/>
  <c r="G95" i="6"/>
  <c r="K90" i="6"/>
  <c r="P94" i="6"/>
  <c r="Q94" i="6"/>
  <c r="E92" i="6"/>
  <c r="P90" i="6"/>
  <c r="D93" i="6"/>
  <c r="G91" i="6"/>
  <c r="L95" i="6"/>
  <c r="B87" i="5"/>
  <c r="B103" i="5"/>
  <c r="B86" i="5"/>
  <c r="B88" i="5"/>
  <c r="B96" i="5"/>
  <c r="B90" i="5"/>
  <c r="B91" i="5"/>
  <c r="B100" i="5"/>
  <c r="B89" i="5"/>
  <c r="B97" i="5"/>
  <c r="B98" i="5"/>
  <c r="B99" i="5"/>
  <c r="B101" i="5"/>
  <c r="B92" i="5"/>
  <c r="B94" i="5"/>
  <c r="B102" i="5"/>
  <c r="B95" i="5"/>
  <c r="B93" i="5"/>
  <c r="H91" i="5"/>
  <c r="H92" i="5"/>
  <c r="H100" i="5"/>
  <c r="H88" i="5"/>
  <c r="H93" i="5"/>
  <c r="H101" i="5"/>
  <c r="H96" i="5"/>
  <c r="H97" i="5"/>
  <c r="H94" i="5"/>
  <c r="H102" i="5"/>
  <c r="H87" i="5"/>
  <c r="H95" i="5"/>
  <c r="H103" i="5"/>
  <c r="H89" i="5"/>
  <c r="H90" i="5"/>
  <c r="H98" i="5"/>
  <c r="H99" i="5"/>
  <c r="H86" i="5"/>
  <c r="F86" i="5"/>
  <c r="F100" i="5"/>
  <c r="F87" i="5"/>
  <c r="F95" i="5"/>
  <c r="F103" i="5"/>
  <c r="F98" i="5"/>
  <c r="F88" i="5"/>
  <c r="F96" i="5"/>
  <c r="F99" i="5"/>
  <c r="F89" i="5"/>
  <c r="F97" i="5"/>
  <c r="F90" i="5"/>
  <c r="F91" i="5"/>
  <c r="F93" i="5"/>
  <c r="F101" i="5"/>
  <c r="F94" i="5"/>
  <c r="F102" i="5"/>
  <c r="F92" i="5"/>
  <c r="D90" i="5"/>
  <c r="D91" i="5"/>
  <c r="D99" i="5"/>
  <c r="D94" i="5"/>
  <c r="D95" i="5"/>
  <c r="D92" i="5"/>
  <c r="D100" i="5"/>
  <c r="D101" i="5"/>
  <c r="D88" i="5"/>
  <c r="D93" i="5"/>
  <c r="D86" i="5"/>
  <c r="D102" i="5"/>
  <c r="D87" i="5"/>
  <c r="D89" i="5"/>
  <c r="D97" i="5"/>
  <c r="D98" i="5"/>
  <c r="D103" i="5"/>
  <c r="D96" i="5"/>
  <c r="G88" i="5"/>
  <c r="G93" i="5"/>
  <c r="G89" i="5"/>
  <c r="G97" i="5"/>
  <c r="G101" i="5"/>
  <c r="G94" i="5"/>
  <c r="G90" i="5"/>
  <c r="G98" i="5"/>
  <c r="G102" i="5"/>
  <c r="G91" i="5"/>
  <c r="G99" i="5"/>
  <c r="G92" i="5"/>
  <c r="G100" i="5"/>
  <c r="G87" i="5"/>
  <c r="G95" i="5"/>
  <c r="G103" i="5"/>
  <c r="G96" i="5"/>
  <c r="G86" i="5"/>
  <c r="E92" i="5"/>
  <c r="E93" i="5"/>
  <c r="E101" i="5"/>
  <c r="E89" i="5"/>
  <c r="E90" i="5"/>
  <c r="E86" i="5"/>
  <c r="E94" i="5"/>
  <c r="E102" i="5"/>
  <c r="E96" i="5"/>
  <c r="E97" i="5"/>
  <c r="E87" i="5"/>
  <c r="E95" i="5"/>
  <c r="E103" i="5"/>
  <c r="E88" i="5"/>
  <c r="E98" i="5"/>
  <c r="E91" i="5"/>
  <c r="E99" i="5"/>
  <c r="E100" i="5"/>
  <c r="C88" i="5"/>
  <c r="C101" i="5"/>
  <c r="C86" i="5"/>
  <c r="C89" i="5"/>
  <c r="C97" i="5"/>
  <c r="C91" i="5"/>
  <c r="C94" i="5"/>
  <c r="C90" i="5"/>
  <c r="C98" i="5"/>
  <c r="C99" i="5"/>
  <c r="C92" i="5"/>
  <c r="C93" i="5"/>
  <c r="C100" i="5"/>
  <c r="C102" i="5"/>
  <c r="C87" i="5"/>
  <c r="C95" i="5"/>
  <c r="C103" i="5"/>
  <c r="C96" i="5"/>
  <c r="X55" i="4"/>
  <c r="Y55" i="4" s="1"/>
  <c r="Y57" i="4"/>
  <c r="Z57" i="4" s="1"/>
  <c r="AA57" i="4" s="1"/>
  <c r="AC57" i="4" s="1"/>
  <c r="AD70" i="4"/>
  <c r="Z70" i="4"/>
  <c r="Z59" i="4"/>
  <c r="AA59" i="4" s="1"/>
  <c r="AC59" i="4" s="1"/>
  <c r="AD71" i="4"/>
  <c r="Z79" i="4"/>
  <c r="AC27" i="4"/>
  <c r="AE27" i="4" s="1"/>
  <c r="X61" i="4"/>
  <c r="Y61" i="4" s="1"/>
  <c r="X60" i="4"/>
  <c r="Y60" i="4" s="1"/>
  <c r="Z58" i="4"/>
  <c r="AA58" i="4" s="1"/>
  <c r="AC58" i="4" s="1"/>
  <c r="Y53" i="4"/>
  <c r="Z53" i="4" s="1"/>
  <c r="Z52" i="4"/>
  <c r="AA52" i="4" s="1"/>
  <c r="AC52" i="4" s="1"/>
  <c r="Y56" i="4"/>
  <c r="C134" i="12" l="1"/>
  <c r="C139" i="12"/>
  <c r="C147" i="12"/>
  <c r="C155" i="12"/>
  <c r="C163" i="12"/>
  <c r="C171" i="12"/>
  <c r="C179" i="12"/>
  <c r="C187" i="12"/>
  <c r="C165" i="12"/>
  <c r="C140" i="12"/>
  <c r="C148" i="12"/>
  <c r="C156" i="12"/>
  <c r="C164" i="12"/>
  <c r="C172" i="12"/>
  <c r="C180" i="12"/>
  <c r="C181" i="12"/>
  <c r="C142" i="12"/>
  <c r="C150" i="12"/>
  <c r="C158" i="12"/>
  <c r="C166" i="12"/>
  <c r="C174" i="12"/>
  <c r="C182" i="12"/>
  <c r="C141" i="12"/>
  <c r="C135" i="12"/>
  <c r="C143" i="12"/>
  <c r="C151" i="12"/>
  <c r="C159" i="12"/>
  <c r="C167" i="12"/>
  <c r="C175" i="12"/>
  <c r="C183" i="12"/>
  <c r="C136" i="12"/>
  <c r="C144" i="12"/>
  <c r="C152" i="12"/>
  <c r="C160" i="12"/>
  <c r="C168" i="12"/>
  <c r="C176" i="12"/>
  <c r="C184" i="12"/>
  <c r="C173" i="12"/>
  <c r="C137" i="12"/>
  <c r="C145" i="12"/>
  <c r="C153" i="12"/>
  <c r="C161" i="12"/>
  <c r="C169" i="12"/>
  <c r="C177" i="12"/>
  <c r="C185" i="12"/>
  <c r="C157" i="12"/>
  <c r="C138" i="12"/>
  <c r="C146" i="12"/>
  <c r="C154" i="12"/>
  <c r="C162" i="12"/>
  <c r="C170" i="12"/>
  <c r="C178" i="12"/>
  <c r="C186" i="12"/>
  <c r="C149" i="12"/>
  <c r="E136" i="12"/>
  <c r="E144" i="12"/>
  <c r="E152" i="12"/>
  <c r="E160" i="12"/>
  <c r="E168" i="12"/>
  <c r="E176" i="12"/>
  <c r="E184" i="12"/>
  <c r="E138" i="12"/>
  <c r="E186" i="12"/>
  <c r="E137" i="12"/>
  <c r="E145" i="12"/>
  <c r="E153" i="12"/>
  <c r="E161" i="12"/>
  <c r="E169" i="12"/>
  <c r="E177" i="12"/>
  <c r="E185" i="12"/>
  <c r="E139" i="12"/>
  <c r="E147" i="12"/>
  <c r="E155" i="12"/>
  <c r="E163" i="12"/>
  <c r="E171" i="12"/>
  <c r="E179" i="12"/>
  <c r="E187" i="12"/>
  <c r="E154" i="12"/>
  <c r="E140" i="12"/>
  <c r="E148" i="12"/>
  <c r="E156" i="12"/>
  <c r="E164" i="12"/>
  <c r="E172" i="12"/>
  <c r="E180" i="12"/>
  <c r="E146" i="12"/>
  <c r="E141" i="12"/>
  <c r="E149" i="12"/>
  <c r="E157" i="12"/>
  <c r="E165" i="12"/>
  <c r="E173" i="12"/>
  <c r="E181" i="12"/>
  <c r="E178" i="12"/>
  <c r="E134" i="12"/>
  <c r="E142" i="12"/>
  <c r="E150" i="12"/>
  <c r="E158" i="12"/>
  <c r="E166" i="12"/>
  <c r="E174" i="12"/>
  <c r="E182" i="12"/>
  <c r="E170" i="12"/>
  <c r="E135" i="12"/>
  <c r="E143" i="12"/>
  <c r="E151" i="12"/>
  <c r="E159" i="12"/>
  <c r="G159" i="12" s="1"/>
  <c r="E167" i="12"/>
  <c r="E175" i="12"/>
  <c r="E183" i="12"/>
  <c r="E162" i="12"/>
  <c r="D138" i="12"/>
  <c r="D146" i="12"/>
  <c r="D154" i="12"/>
  <c r="D162" i="12"/>
  <c r="G162" i="12" s="1"/>
  <c r="D170" i="12"/>
  <c r="D178" i="12"/>
  <c r="D186" i="12"/>
  <c r="D172" i="12"/>
  <c r="D139" i="12"/>
  <c r="D147" i="12"/>
  <c r="D155" i="12"/>
  <c r="D163" i="12"/>
  <c r="G163" i="12" s="1"/>
  <c r="D171" i="12"/>
  <c r="D179" i="12"/>
  <c r="D187" i="12"/>
  <c r="D141" i="12"/>
  <c r="D149" i="12"/>
  <c r="D157" i="12"/>
  <c r="D165" i="12"/>
  <c r="D173" i="12"/>
  <c r="D181" i="12"/>
  <c r="D148" i="12"/>
  <c r="D134" i="12"/>
  <c r="D142" i="12"/>
  <c r="D150" i="12"/>
  <c r="D158" i="12"/>
  <c r="D166" i="12"/>
  <c r="D174" i="12"/>
  <c r="G174" i="12" s="1"/>
  <c r="D182" i="12"/>
  <c r="D140" i="12"/>
  <c r="D135" i="12"/>
  <c r="D143" i="12"/>
  <c r="D151" i="12"/>
  <c r="D159" i="12"/>
  <c r="D167" i="12"/>
  <c r="D175" i="12"/>
  <c r="D183" i="12"/>
  <c r="D180" i="12"/>
  <c r="D136" i="12"/>
  <c r="D144" i="12"/>
  <c r="D152" i="12"/>
  <c r="D160" i="12"/>
  <c r="D168" i="12"/>
  <c r="D176" i="12"/>
  <c r="D184" i="12"/>
  <c r="D164" i="12"/>
  <c r="D137" i="12"/>
  <c r="D145" i="12"/>
  <c r="D153" i="12"/>
  <c r="D161" i="12"/>
  <c r="D169" i="12"/>
  <c r="D177" i="12"/>
  <c r="D185" i="12"/>
  <c r="D156" i="12"/>
  <c r="F135" i="12"/>
  <c r="F143" i="12"/>
  <c r="F151" i="12"/>
  <c r="F159" i="12"/>
  <c r="F167" i="12"/>
  <c r="F175" i="12"/>
  <c r="F183" i="12"/>
  <c r="F153" i="12"/>
  <c r="F136" i="12"/>
  <c r="F144" i="12"/>
  <c r="F152" i="12"/>
  <c r="F160" i="12"/>
  <c r="F168" i="12"/>
  <c r="F176" i="12"/>
  <c r="F184" i="12"/>
  <c r="F138" i="12"/>
  <c r="F146" i="12"/>
  <c r="F154" i="12"/>
  <c r="F162" i="12"/>
  <c r="F170" i="12"/>
  <c r="F178" i="12"/>
  <c r="F186" i="12"/>
  <c r="G186" i="12" s="1"/>
  <c r="F161" i="12"/>
  <c r="F139" i="12"/>
  <c r="F147" i="12"/>
  <c r="F155" i="12"/>
  <c r="F163" i="12"/>
  <c r="F171" i="12"/>
  <c r="F179" i="12"/>
  <c r="F187" i="12"/>
  <c r="G187" i="12" s="1"/>
  <c r="F169" i="12"/>
  <c r="F140" i="12"/>
  <c r="F148" i="12"/>
  <c r="F156" i="12"/>
  <c r="F164" i="12"/>
  <c r="F172" i="12"/>
  <c r="F180" i="12"/>
  <c r="F134" i="12"/>
  <c r="F177" i="12"/>
  <c r="F185" i="12"/>
  <c r="F141" i="12"/>
  <c r="F149" i="12"/>
  <c r="F157" i="12"/>
  <c r="F165" i="12"/>
  <c r="F173" i="12"/>
  <c r="F181" i="12"/>
  <c r="F137" i="12"/>
  <c r="F142" i="12"/>
  <c r="F150" i="12"/>
  <c r="F158" i="12"/>
  <c r="F166" i="12"/>
  <c r="F174" i="12"/>
  <c r="F182" i="12"/>
  <c r="F145" i="12"/>
  <c r="N91" i="12" a="1"/>
  <c r="N91" i="12" s="1"/>
  <c r="N80" i="12" a="1"/>
  <c r="N80" i="12" s="1"/>
  <c r="L229" i="11"/>
  <c r="K229" i="11"/>
  <c r="L231" i="11"/>
  <c r="K231" i="11"/>
  <c r="J230" i="11"/>
  <c r="H228" i="11"/>
  <c r="C228" i="11"/>
  <c r="J228" i="11" s="1"/>
  <c r="D228" i="11"/>
  <c r="E228" i="11"/>
  <c r="F228" i="11"/>
  <c r="J238" i="11"/>
  <c r="I228" i="11"/>
  <c r="C114" i="10"/>
  <c r="C122" i="10"/>
  <c r="C130" i="10"/>
  <c r="C126" i="10"/>
  <c r="C127" i="10"/>
  <c r="C115" i="10"/>
  <c r="C123" i="10"/>
  <c r="C131" i="10"/>
  <c r="C118" i="10"/>
  <c r="C119" i="10"/>
  <c r="C116" i="10"/>
  <c r="C124" i="10"/>
  <c r="C132" i="10"/>
  <c r="C110" i="10"/>
  <c r="C111" i="10"/>
  <c r="C109" i="10"/>
  <c r="C117" i="10"/>
  <c r="C125" i="10"/>
  <c r="C108" i="10"/>
  <c r="C112" i="10"/>
  <c r="C120" i="10"/>
  <c r="C128" i="10"/>
  <c r="C113" i="10"/>
  <c r="C121" i="10"/>
  <c r="C129" i="10"/>
  <c r="F114" i="10"/>
  <c r="F122" i="10"/>
  <c r="F130" i="10"/>
  <c r="F115" i="10"/>
  <c r="F123" i="10"/>
  <c r="F131" i="10"/>
  <c r="F116" i="10"/>
  <c r="F124" i="10"/>
  <c r="F132" i="10"/>
  <c r="F109" i="10"/>
  <c r="F117" i="10"/>
  <c r="F125" i="10"/>
  <c r="F110" i="10"/>
  <c r="F127" i="10"/>
  <c r="F112" i="10"/>
  <c r="F120" i="10"/>
  <c r="F128" i="10"/>
  <c r="F126" i="10"/>
  <c r="F119" i="10"/>
  <c r="F113" i="10"/>
  <c r="F121" i="10"/>
  <c r="F129" i="10"/>
  <c r="F118" i="10"/>
  <c r="F111" i="10"/>
  <c r="D114" i="10"/>
  <c r="D122" i="10"/>
  <c r="D130" i="10"/>
  <c r="D115" i="10"/>
  <c r="D123" i="10"/>
  <c r="D131" i="10"/>
  <c r="D116" i="10"/>
  <c r="D124" i="10"/>
  <c r="D132" i="10"/>
  <c r="D109" i="10"/>
  <c r="D117" i="10"/>
  <c r="D125" i="10"/>
  <c r="D118" i="10"/>
  <c r="D127" i="10"/>
  <c r="D112" i="10"/>
  <c r="D120" i="10"/>
  <c r="D128" i="10"/>
  <c r="D126" i="10"/>
  <c r="D119" i="10"/>
  <c r="D113" i="10"/>
  <c r="D121" i="10"/>
  <c r="D129" i="10"/>
  <c r="D110" i="10"/>
  <c r="D111" i="10"/>
  <c r="E114" i="10"/>
  <c r="E122" i="10"/>
  <c r="E130" i="10"/>
  <c r="E118" i="10"/>
  <c r="E127" i="10"/>
  <c r="E115" i="10"/>
  <c r="E123" i="10"/>
  <c r="E131" i="10"/>
  <c r="E126" i="10"/>
  <c r="E119" i="10"/>
  <c r="E116" i="10"/>
  <c r="E124" i="10"/>
  <c r="E132" i="10"/>
  <c r="E110" i="10"/>
  <c r="E111" i="10"/>
  <c r="E109" i="10"/>
  <c r="E117" i="10"/>
  <c r="E125" i="10"/>
  <c r="E112" i="10"/>
  <c r="E120" i="10"/>
  <c r="E128" i="10"/>
  <c r="E113" i="10"/>
  <c r="E121" i="10"/>
  <c r="E129" i="10"/>
  <c r="H114" i="10"/>
  <c r="H122" i="10"/>
  <c r="H130" i="10"/>
  <c r="H115" i="10"/>
  <c r="H123" i="10"/>
  <c r="H131" i="10"/>
  <c r="H110" i="10"/>
  <c r="H116" i="10"/>
  <c r="H124" i="10"/>
  <c r="H132" i="10"/>
  <c r="H127" i="10"/>
  <c r="H109" i="10"/>
  <c r="H117" i="10"/>
  <c r="H125" i="10"/>
  <c r="H119" i="10"/>
  <c r="H112" i="10"/>
  <c r="H120" i="10"/>
  <c r="H128" i="10"/>
  <c r="H126" i="10"/>
  <c r="H111" i="10"/>
  <c r="H113" i="10"/>
  <c r="H121" i="10"/>
  <c r="H129" i="10"/>
  <c r="H118" i="10"/>
  <c r="I114" i="10"/>
  <c r="I122" i="10"/>
  <c r="I130" i="10"/>
  <c r="I118" i="10"/>
  <c r="I111" i="10"/>
  <c r="I115" i="10"/>
  <c r="I123" i="10"/>
  <c r="I131" i="10"/>
  <c r="I119" i="10"/>
  <c r="I116" i="10"/>
  <c r="I124" i="10"/>
  <c r="I132" i="10"/>
  <c r="I110" i="10"/>
  <c r="I109" i="10"/>
  <c r="I117" i="10"/>
  <c r="I125" i="10"/>
  <c r="I126" i="10"/>
  <c r="I112" i="10"/>
  <c r="I120" i="10"/>
  <c r="I128" i="10"/>
  <c r="I113" i="10"/>
  <c r="I121" i="10"/>
  <c r="I129" i="10"/>
  <c r="I127" i="10"/>
  <c r="G114" i="10"/>
  <c r="G122" i="10"/>
  <c r="G130" i="10"/>
  <c r="G118" i="10"/>
  <c r="G119" i="10"/>
  <c r="G115" i="10"/>
  <c r="G123" i="10"/>
  <c r="G131" i="10"/>
  <c r="G126" i="10"/>
  <c r="G111" i="10"/>
  <c r="G116" i="10"/>
  <c r="G124" i="10"/>
  <c r="G132" i="10"/>
  <c r="G110" i="10"/>
  <c r="G127" i="10"/>
  <c r="G109" i="10"/>
  <c r="G117" i="10"/>
  <c r="G125" i="10"/>
  <c r="G112" i="10"/>
  <c r="G120" i="10"/>
  <c r="G128" i="10"/>
  <c r="G113" i="10"/>
  <c r="G121" i="10"/>
  <c r="G129" i="10"/>
  <c r="D108" i="10"/>
  <c r="I108" i="10"/>
  <c r="E108" i="10"/>
  <c r="G108" i="10"/>
  <c r="F108" i="10"/>
  <c r="H108" i="10"/>
  <c r="I104" i="6"/>
  <c r="I114" i="6"/>
  <c r="C101" i="6"/>
  <c r="D118" i="6"/>
  <c r="C105" i="6"/>
  <c r="F120" i="6"/>
  <c r="C103" i="6"/>
  <c r="E109" i="6"/>
  <c r="I109" i="6"/>
  <c r="D115" i="6"/>
  <c r="C119" i="6"/>
  <c r="E107" i="6"/>
  <c r="G102" i="6"/>
  <c r="F103" i="6"/>
  <c r="F112" i="6"/>
  <c r="C115" i="6"/>
  <c r="C116" i="6"/>
  <c r="C99" i="6"/>
  <c r="F108" i="6"/>
  <c r="C113" i="6"/>
  <c r="C100" i="6"/>
  <c r="H99" i="6"/>
  <c r="C117" i="6"/>
  <c r="C120" i="6"/>
  <c r="H108" i="6"/>
  <c r="C102" i="6"/>
  <c r="E120" i="6"/>
  <c r="G103" i="6"/>
  <c r="I110" i="6"/>
  <c r="H109" i="6"/>
  <c r="D109" i="6"/>
  <c r="G107" i="6"/>
  <c r="G105" i="6"/>
  <c r="C98" i="6"/>
  <c r="I120" i="6"/>
  <c r="G100" i="6"/>
  <c r="G98" i="6"/>
  <c r="G118" i="6"/>
  <c r="E110" i="6"/>
  <c r="E100" i="6"/>
  <c r="E112" i="6"/>
  <c r="H98" i="6"/>
  <c r="H119" i="6"/>
  <c r="H101" i="6"/>
  <c r="F101" i="6"/>
  <c r="F114" i="6"/>
  <c r="D120" i="6"/>
  <c r="D119" i="6"/>
  <c r="D101" i="6"/>
  <c r="I115" i="6"/>
  <c r="I102" i="6"/>
  <c r="I99" i="6"/>
  <c r="I112" i="6"/>
  <c r="I117" i="6"/>
  <c r="G115" i="6"/>
  <c r="G113" i="6"/>
  <c r="G110" i="6"/>
  <c r="E117" i="6"/>
  <c r="E115" i="6"/>
  <c r="E104" i="6"/>
  <c r="H115" i="6"/>
  <c r="H111" i="6"/>
  <c r="F118" i="6"/>
  <c r="F116" i="6"/>
  <c r="F106" i="6"/>
  <c r="D116" i="6"/>
  <c r="D103" i="6"/>
  <c r="D100" i="6"/>
  <c r="C111" i="6"/>
  <c r="C108" i="6"/>
  <c r="I119" i="6"/>
  <c r="I101" i="6"/>
  <c r="G120" i="6"/>
  <c r="E111" i="6"/>
  <c r="E101" i="6"/>
  <c r="E99" i="6"/>
  <c r="H116" i="6"/>
  <c r="H113" i="6"/>
  <c r="H118" i="6"/>
  <c r="F104" i="6"/>
  <c r="F100" i="6"/>
  <c r="F113" i="6"/>
  <c r="D98" i="6"/>
  <c r="D110" i="6"/>
  <c r="D107" i="6"/>
  <c r="C114" i="6"/>
  <c r="I107" i="6"/>
  <c r="G101" i="6"/>
  <c r="G116" i="6"/>
  <c r="G112" i="6"/>
  <c r="E119" i="6"/>
  <c r="E118" i="6"/>
  <c r="E114" i="6"/>
  <c r="H100" i="6"/>
  <c r="H105" i="6"/>
  <c r="H110" i="6"/>
  <c r="F102" i="6"/>
  <c r="F109" i="6"/>
  <c r="F105" i="6"/>
  <c r="D112" i="6"/>
  <c r="D102" i="6"/>
  <c r="D99" i="6"/>
  <c r="C104" i="6"/>
  <c r="C106" i="6"/>
  <c r="I106" i="6"/>
  <c r="G99" i="6"/>
  <c r="I111" i="6"/>
  <c r="I116" i="6"/>
  <c r="I98" i="6"/>
  <c r="I103" i="6"/>
  <c r="G119" i="6"/>
  <c r="G108" i="6"/>
  <c r="G104" i="6"/>
  <c r="E113" i="6"/>
  <c r="E102" i="6"/>
  <c r="E106" i="6"/>
  <c r="H107" i="6"/>
  <c r="H120" i="6"/>
  <c r="H102" i="6"/>
  <c r="F110" i="6"/>
  <c r="F115" i="6"/>
  <c r="F119" i="6"/>
  <c r="D104" i="6"/>
  <c r="D111" i="6"/>
  <c r="D113" i="6"/>
  <c r="C107" i="6"/>
  <c r="C118" i="6"/>
  <c r="I108" i="6"/>
  <c r="I113" i="6"/>
  <c r="I118" i="6"/>
  <c r="G117" i="6"/>
  <c r="G114" i="6"/>
  <c r="G111" i="6"/>
  <c r="E105" i="6"/>
  <c r="E116" i="6"/>
  <c r="E98" i="6"/>
  <c r="H114" i="6"/>
  <c r="H112" i="6"/>
  <c r="H117" i="6"/>
  <c r="F98" i="6"/>
  <c r="F107" i="6"/>
  <c r="F111" i="6"/>
  <c r="D108" i="6"/>
  <c r="D117" i="6"/>
  <c r="J117" i="6" s="1"/>
  <c r="D105" i="6"/>
  <c r="C110" i="6"/>
  <c r="I100" i="6"/>
  <c r="I105" i="6"/>
  <c r="G109" i="6"/>
  <c r="G106" i="6"/>
  <c r="E103" i="6"/>
  <c r="E108" i="6"/>
  <c r="H106" i="6"/>
  <c r="H104" i="6"/>
  <c r="F117" i="6"/>
  <c r="F99" i="6"/>
  <c r="D106" i="6"/>
  <c r="C112" i="6"/>
  <c r="I94" i="5"/>
  <c r="J94" i="5" s="1"/>
  <c r="I91" i="5"/>
  <c r="J91" i="5" s="1"/>
  <c r="I102" i="5"/>
  <c r="I100" i="5"/>
  <c r="I90" i="5"/>
  <c r="I92" i="5"/>
  <c r="I101" i="5"/>
  <c r="I96" i="5"/>
  <c r="I99" i="5"/>
  <c r="I88" i="5"/>
  <c r="I98" i="5"/>
  <c r="I86" i="5"/>
  <c r="I93" i="5"/>
  <c r="I97" i="5"/>
  <c r="I103" i="5"/>
  <c r="I95" i="5"/>
  <c r="I89" i="5"/>
  <c r="I87" i="5"/>
  <c r="Z55" i="4"/>
  <c r="AA55" i="4" s="1"/>
  <c r="AC55" i="4" s="1"/>
  <c r="AG71" i="4"/>
  <c r="AG72" i="4" s="1"/>
  <c r="Z60" i="4"/>
  <c r="AA60" i="4" s="1"/>
  <c r="AC60" i="4" s="1"/>
  <c r="AA53" i="4"/>
  <c r="AC53" i="4" s="1"/>
  <c r="Z56" i="4"/>
  <c r="AA56" i="4" s="1"/>
  <c r="AC56" i="4" s="1"/>
  <c r="Z61" i="4"/>
  <c r="AA61" i="4" s="1"/>
  <c r="AC61" i="4" s="1"/>
  <c r="G173" i="12" l="1"/>
  <c r="G158" i="12"/>
  <c r="G157" i="12"/>
  <c r="G148" i="12"/>
  <c r="G147" i="12"/>
  <c r="G146" i="12"/>
  <c r="G155" i="12"/>
  <c r="G172" i="12"/>
  <c r="G171" i="12"/>
  <c r="H171" i="12" s="1"/>
  <c r="G170" i="12"/>
  <c r="G183" i="12"/>
  <c r="G137" i="12"/>
  <c r="G178" i="12"/>
  <c r="H178" i="12" s="1"/>
  <c r="G153" i="12"/>
  <c r="G177" i="12"/>
  <c r="H177" i="12" s="1"/>
  <c r="G181" i="12"/>
  <c r="H181" i="12" s="1"/>
  <c r="G139" i="12"/>
  <c r="H139" i="12" s="1"/>
  <c r="G184" i="12"/>
  <c r="G156" i="12"/>
  <c r="G152" i="12"/>
  <c r="G164" i="12"/>
  <c r="H164" i="12" s="1"/>
  <c r="G151" i="12"/>
  <c r="H151" i="12" s="1"/>
  <c r="G140" i="12"/>
  <c r="H140" i="12" s="1"/>
  <c r="G150" i="12"/>
  <c r="G169" i="12"/>
  <c r="G168" i="12"/>
  <c r="G143" i="12"/>
  <c r="G142" i="12"/>
  <c r="G165" i="12"/>
  <c r="G182" i="12"/>
  <c r="H182" i="12" s="1"/>
  <c r="G167" i="12"/>
  <c r="G161" i="12"/>
  <c r="G160" i="12"/>
  <c r="H160" i="12" s="1"/>
  <c r="G154" i="12"/>
  <c r="G185" i="12"/>
  <c r="H185" i="12" s="1"/>
  <c r="G138" i="12"/>
  <c r="G149" i="12"/>
  <c r="H149" i="12" s="1"/>
  <c r="G179" i="12"/>
  <c r="G180" i="12"/>
  <c r="H180" i="12" s="1"/>
  <c r="G141" i="12"/>
  <c r="H141" i="12" s="1"/>
  <c r="G166" i="12"/>
  <c r="G144" i="12"/>
  <c r="H144" i="12" s="1"/>
  <c r="G175" i="12"/>
  <c r="G145" i="12"/>
  <c r="H145" i="12" s="1"/>
  <c r="G136" i="12"/>
  <c r="H136" i="12" s="1"/>
  <c r="G135" i="12"/>
  <c r="H135" i="12" s="1"/>
  <c r="G176" i="12"/>
  <c r="H176" i="12" s="1"/>
  <c r="G134" i="12"/>
  <c r="H134" i="12" s="1"/>
  <c r="H162" i="12"/>
  <c r="H163" i="12"/>
  <c r="H173" i="12"/>
  <c r="H146" i="12"/>
  <c r="H174" i="12"/>
  <c r="H187" i="12"/>
  <c r="H147" i="12"/>
  <c r="H157" i="12"/>
  <c r="H148" i="12"/>
  <c r="H158" i="12"/>
  <c r="H186" i="12"/>
  <c r="H159" i="12"/>
  <c r="L228" i="11"/>
  <c r="K228" i="11"/>
  <c r="K230" i="11"/>
  <c r="L230" i="11"/>
  <c r="L238" i="11"/>
  <c r="K238" i="11"/>
  <c r="J109" i="10"/>
  <c r="L109" i="10" s="1"/>
  <c r="J131" i="10"/>
  <c r="K131" i="10" s="1"/>
  <c r="J115" i="10"/>
  <c r="L115" i="10" s="1"/>
  <c r="J121" i="10"/>
  <c r="J113" i="10"/>
  <c r="J111" i="10"/>
  <c r="J123" i="10"/>
  <c r="J120" i="10"/>
  <c r="J132" i="10"/>
  <c r="J127" i="10"/>
  <c r="J110" i="10"/>
  <c r="J112" i="10"/>
  <c r="J124" i="10"/>
  <c r="J126" i="10"/>
  <c r="J128" i="10"/>
  <c r="J116" i="10"/>
  <c r="J130" i="10"/>
  <c r="J125" i="10"/>
  <c r="J119" i="10"/>
  <c r="J122" i="10"/>
  <c r="J129" i="10"/>
  <c r="J117" i="10"/>
  <c r="J118" i="10"/>
  <c r="J114" i="10"/>
  <c r="J108" i="10"/>
  <c r="K108" i="10" s="1"/>
  <c r="J103" i="6"/>
  <c r="J99" i="6"/>
  <c r="J105" i="6"/>
  <c r="J114" i="6"/>
  <c r="L114" i="6" s="1"/>
  <c r="J101" i="6"/>
  <c r="L101" i="6" s="1"/>
  <c r="J108" i="6"/>
  <c r="K108" i="6" s="1"/>
  <c r="J100" i="6"/>
  <c r="K100" i="6" s="1"/>
  <c r="J120" i="6"/>
  <c r="K120" i="6" s="1"/>
  <c r="J102" i="6"/>
  <c r="L102" i="6" s="1"/>
  <c r="J116" i="6"/>
  <c r="K116" i="6" s="1"/>
  <c r="J107" i="6"/>
  <c r="J106" i="6"/>
  <c r="K106" i="6" s="1"/>
  <c r="J104" i="6"/>
  <c r="L104" i="6" s="1"/>
  <c r="J110" i="6"/>
  <c r="L110" i="6" s="1"/>
  <c r="J118" i="6"/>
  <c r="L118" i="6" s="1"/>
  <c r="J119" i="6"/>
  <c r="K119" i="6" s="1"/>
  <c r="J113" i="6"/>
  <c r="L113" i="6" s="1"/>
  <c r="J109" i="6"/>
  <c r="K109" i="6" s="1"/>
  <c r="J112" i="6"/>
  <c r="J111" i="6"/>
  <c r="L111" i="6" s="1"/>
  <c r="J115" i="6"/>
  <c r="L115" i="6" s="1"/>
  <c r="J98" i="6"/>
  <c r="L98" i="6" s="1"/>
  <c r="K101" i="6"/>
  <c r="K110" i="6"/>
  <c r="L116" i="6"/>
  <c r="K114" i="6"/>
  <c r="L112" i="6"/>
  <c r="K112" i="6"/>
  <c r="K117" i="6"/>
  <c r="L117" i="6"/>
  <c r="K113" i="6"/>
  <c r="L106" i="6"/>
  <c r="L99" i="6"/>
  <c r="K99" i="6"/>
  <c r="L107" i="6"/>
  <c r="K107" i="6"/>
  <c r="K105" i="6"/>
  <c r="L105" i="6"/>
  <c r="K103" i="6"/>
  <c r="L103" i="6"/>
  <c r="K91" i="5"/>
  <c r="K94" i="5"/>
  <c r="K96" i="5"/>
  <c r="J96" i="5"/>
  <c r="K97" i="5"/>
  <c r="J97" i="5"/>
  <c r="K92" i="5"/>
  <c r="J92" i="5"/>
  <c r="J101" i="5"/>
  <c r="K101" i="5"/>
  <c r="J93" i="5"/>
  <c r="K93" i="5"/>
  <c r="J103" i="5"/>
  <c r="K103" i="5"/>
  <c r="J87" i="5"/>
  <c r="K87" i="5"/>
  <c r="K89" i="5"/>
  <c r="J89" i="5"/>
  <c r="J98" i="5"/>
  <c r="K98" i="5"/>
  <c r="J90" i="5"/>
  <c r="K90" i="5"/>
  <c r="K86" i="5"/>
  <c r="J86" i="5"/>
  <c r="B110" i="5" s="1"/>
  <c r="J95" i="5"/>
  <c r="K95" i="5"/>
  <c r="K88" i="5"/>
  <c r="J88" i="5"/>
  <c r="K100" i="5"/>
  <c r="J100" i="5"/>
  <c r="J99" i="5"/>
  <c r="K99" i="5"/>
  <c r="J102" i="5"/>
  <c r="K102" i="5"/>
  <c r="H172" i="12" l="1"/>
  <c r="H155" i="12"/>
  <c r="H170" i="12"/>
  <c r="H152" i="12"/>
  <c r="H184" i="12"/>
  <c r="H137" i="12"/>
  <c r="H154" i="12"/>
  <c r="H156" i="12"/>
  <c r="H183" i="12"/>
  <c r="H153" i="12"/>
  <c r="H169" i="12"/>
  <c r="H167" i="12"/>
  <c r="H166" i="12"/>
  <c r="H161" i="12"/>
  <c r="H150" i="12"/>
  <c r="H175" i="12"/>
  <c r="H165" i="12"/>
  <c r="H138" i="12"/>
  <c r="H143" i="12"/>
  <c r="H142" i="12"/>
  <c r="H168" i="12"/>
  <c r="H179" i="12"/>
  <c r="L131" i="10"/>
  <c r="K115" i="10"/>
  <c r="K109" i="10"/>
  <c r="L129" i="10"/>
  <c r="K129" i="10"/>
  <c r="L128" i="10"/>
  <c r="K128" i="10"/>
  <c r="L123" i="10"/>
  <c r="K123" i="10"/>
  <c r="L122" i="10"/>
  <c r="K122" i="10"/>
  <c r="K126" i="10"/>
  <c r="L126" i="10"/>
  <c r="K111" i="10"/>
  <c r="L111" i="10"/>
  <c r="L112" i="10"/>
  <c r="K112" i="10"/>
  <c r="L125" i="10"/>
  <c r="K125" i="10"/>
  <c r="L110" i="10"/>
  <c r="K110" i="10"/>
  <c r="L124" i="10"/>
  <c r="K124" i="10"/>
  <c r="L127" i="10"/>
  <c r="K127" i="10"/>
  <c r="L113" i="10"/>
  <c r="K113" i="10"/>
  <c r="L114" i="10"/>
  <c r="K114" i="10"/>
  <c r="K118" i="10"/>
  <c r="L118" i="10"/>
  <c r="L130" i="10"/>
  <c r="K130" i="10"/>
  <c r="L132" i="10"/>
  <c r="K132" i="10"/>
  <c r="L119" i="10"/>
  <c r="K119" i="10"/>
  <c r="L117" i="10"/>
  <c r="K117" i="10"/>
  <c r="L116" i="10"/>
  <c r="K116" i="10"/>
  <c r="L120" i="10"/>
  <c r="K120" i="10"/>
  <c r="L121" i="10"/>
  <c r="K121" i="10"/>
  <c r="L108" i="10"/>
  <c r="L100" i="6"/>
  <c r="L119" i="6"/>
  <c r="K118" i="6"/>
  <c r="K111" i="6"/>
  <c r="L120" i="6"/>
  <c r="L108" i="6"/>
  <c r="K115" i="6"/>
  <c r="K104" i="6"/>
  <c r="G126" i="6" s="1"/>
  <c r="K102" i="6"/>
  <c r="L109" i="6"/>
  <c r="K98" i="6"/>
  <c r="R126" i="6"/>
  <c r="D126" i="6"/>
  <c r="Q116" i="5"/>
  <c r="J112" i="5"/>
  <c r="D110" i="5"/>
  <c r="L113" i="5"/>
  <c r="R115" i="5"/>
  <c r="L115" i="5"/>
  <c r="E111" i="5"/>
  <c r="N113" i="5"/>
  <c r="B113" i="5"/>
  <c r="N110" i="5"/>
  <c r="N115" i="5"/>
  <c r="O111" i="5"/>
  <c r="M112" i="5"/>
  <c r="J113" i="5"/>
  <c r="I110" i="5"/>
  <c r="N111" i="5"/>
  <c r="N112" i="5"/>
  <c r="H115" i="5"/>
  <c r="R112" i="5"/>
  <c r="J116" i="5"/>
  <c r="C112" i="5"/>
  <c r="C110" i="5"/>
  <c r="C114" i="5"/>
  <c r="M111" i="5"/>
  <c r="L110" i="5"/>
  <c r="H113" i="5"/>
  <c r="J115" i="5"/>
  <c r="E114" i="5"/>
  <c r="G110" i="5"/>
  <c r="H116" i="5"/>
  <c r="R113" i="5"/>
  <c r="C116" i="5"/>
  <c r="J110" i="5"/>
  <c r="O116" i="5"/>
  <c r="D113" i="5"/>
  <c r="F110" i="5"/>
  <c r="P115" i="5"/>
  <c r="I111" i="5"/>
  <c r="R116" i="5"/>
  <c r="K112" i="5"/>
  <c r="D116" i="5"/>
  <c r="K114" i="5"/>
  <c r="E110" i="5"/>
  <c r="F116" i="5"/>
  <c r="P113" i="5"/>
  <c r="D112" i="5"/>
  <c r="M114" i="5"/>
  <c r="O110" i="5"/>
  <c r="P116" i="5"/>
  <c r="I112" i="5"/>
  <c r="Q114" i="5"/>
  <c r="L116" i="5"/>
  <c r="L112" i="5"/>
  <c r="N114" i="5"/>
  <c r="B112" i="5"/>
  <c r="C115" i="5"/>
  <c r="J114" i="5"/>
  <c r="G114" i="5"/>
  <c r="Q111" i="5"/>
  <c r="I115" i="5"/>
  <c r="B111" i="5"/>
  <c r="R114" i="5"/>
  <c r="B114" i="5"/>
  <c r="M110" i="5"/>
  <c r="N116" i="5"/>
  <c r="G112" i="5"/>
  <c r="B115" i="5"/>
  <c r="I113" i="5"/>
  <c r="Q110" i="5"/>
  <c r="G115" i="5"/>
  <c r="Q112" i="5"/>
  <c r="C111" i="5"/>
  <c r="K113" i="5"/>
  <c r="F112" i="5"/>
  <c r="K110" i="5"/>
  <c r="I116" i="5"/>
  <c r="R110" i="5"/>
  <c r="F115" i="5"/>
  <c r="O114" i="5"/>
  <c r="I114" i="5"/>
  <c r="Q115" i="5"/>
  <c r="J111" i="5"/>
  <c r="L111" i="5"/>
  <c r="G113" i="5"/>
  <c r="B116" i="5"/>
  <c r="E115" i="5"/>
  <c r="O112" i="5"/>
  <c r="D111" i="5"/>
  <c r="Q113" i="5"/>
  <c r="K116" i="5"/>
  <c r="O115" i="5"/>
  <c r="H111" i="5"/>
  <c r="K115" i="5"/>
  <c r="D114" i="5"/>
  <c r="H110" i="5"/>
  <c r="F113" i="5"/>
  <c r="L114" i="5"/>
  <c r="P110" i="5"/>
  <c r="C113" i="5"/>
  <c r="K111" i="5"/>
  <c r="H114" i="5"/>
  <c r="R111" i="5"/>
  <c r="E116" i="5"/>
  <c r="O113" i="5"/>
  <c r="E113" i="5"/>
  <c r="M115" i="5"/>
  <c r="F111" i="5"/>
  <c r="G116" i="5"/>
  <c r="H112" i="5"/>
  <c r="M113" i="5"/>
  <c r="F114" i="5"/>
  <c r="P111" i="5"/>
  <c r="E112" i="5"/>
  <c r="P114" i="5"/>
  <c r="M116" i="5"/>
  <c r="P112" i="5"/>
  <c r="D115" i="5"/>
  <c r="G111" i="5"/>
  <c r="L86" i="5"/>
  <c r="N145" i="12" l="1" a="1"/>
  <c r="N145" i="12" s="1"/>
  <c r="N171" i="12" a="1"/>
  <c r="N171" i="12" s="1"/>
  <c r="N133" i="12" a="1"/>
  <c r="N133" i="12" s="1"/>
  <c r="N156" i="12" a="1"/>
  <c r="N156" i="12" s="1"/>
  <c r="K142" i="10"/>
  <c r="B140" i="10"/>
  <c r="N140" i="10"/>
  <c r="M137" i="10"/>
  <c r="J137" i="10"/>
  <c r="H138" i="10"/>
  <c r="R140" i="10"/>
  <c r="B139" i="10"/>
  <c r="I142" i="10"/>
  <c r="E139" i="10"/>
  <c r="Q141" i="10"/>
  <c r="N141" i="10"/>
  <c r="E138" i="10"/>
  <c r="F142" i="10"/>
  <c r="G138" i="10"/>
  <c r="I136" i="10"/>
  <c r="E142" i="10"/>
  <c r="B138" i="10"/>
  <c r="F141" i="10"/>
  <c r="D142" i="10"/>
  <c r="K139" i="10"/>
  <c r="L141" i="10"/>
  <c r="P139" i="10"/>
  <c r="C142" i="10"/>
  <c r="E137" i="10"/>
  <c r="I141" i="10"/>
  <c r="B141" i="10"/>
  <c r="N139" i="10"/>
  <c r="F136" i="10"/>
  <c r="B137" i="10"/>
  <c r="F140" i="10"/>
  <c r="P138" i="10"/>
  <c r="K138" i="10"/>
  <c r="O142" i="10"/>
  <c r="O136" i="10"/>
  <c r="C139" i="10"/>
  <c r="J140" i="10"/>
  <c r="H139" i="10"/>
  <c r="Q138" i="10"/>
  <c r="N138" i="10"/>
  <c r="R142" i="10"/>
  <c r="R136" i="10"/>
  <c r="F139" i="10"/>
  <c r="R139" i="10"/>
  <c r="K137" i="10"/>
  <c r="O141" i="10"/>
  <c r="I139" i="10"/>
  <c r="C138" i="10"/>
  <c r="G142" i="10"/>
  <c r="G136" i="10"/>
  <c r="L140" i="10"/>
  <c r="L136" i="10"/>
  <c r="Q140" i="10"/>
  <c r="D141" i="10"/>
  <c r="F138" i="10"/>
  <c r="J142" i="10"/>
  <c r="J136" i="10"/>
  <c r="O140" i="10"/>
  <c r="C140" i="10"/>
  <c r="C137" i="10"/>
  <c r="G141" i="10"/>
  <c r="L142" i="10"/>
  <c r="L139" i="10"/>
  <c r="P137" i="10"/>
  <c r="Q137" i="10"/>
  <c r="D140" i="10"/>
  <c r="D136" i="10"/>
  <c r="I140" i="10"/>
  <c r="M136" i="10"/>
  <c r="O139" i="10"/>
  <c r="N136" i="10"/>
  <c r="B136" i="10"/>
  <c r="G140" i="10"/>
  <c r="E136" i="10"/>
  <c r="L138" i="10"/>
  <c r="P142" i="10"/>
  <c r="P136" i="10"/>
  <c r="D139" i="10"/>
  <c r="J139" i="10"/>
  <c r="I137" i="10"/>
  <c r="M141" i="10"/>
  <c r="N137" i="10"/>
  <c r="R141" i="10"/>
  <c r="C141" i="10"/>
  <c r="G139" i="10"/>
  <c r="I138" i="10"/>
  <c r="L137" i="10"/>
  <c r="P141" i="10"/>
  <c r="Q139" i="10"/>
  <c r="D138" i="10"/>
  <c r="H142" i="10"/>
  <c r="H136" i="10"/>
  <c r="M140" i="10"/>
  <c r="M142" i="10"/>
  <c r="R138" i="10"/>
  <c r="E141" i="10"/>
  <c r="F137" i="10"/>
  <c r="J141" i="10"/>
  <c r="K136" i="10"/>
  <c r="P140" i="10"/>
  <c r="K140" i="10"/>
  <c r="D137" i="10"/>
  <c r="H141" i="10"/>
  <c r="K141" i="10"/>
  <c r="M139" i="10"/>
  <c r="M108" i="10"/>
  <c r="H137" i="10"/>
  <c r="R137" i="10"/>
  <c r="E140" i="10"/>
  <c r="G137" i="10"/>
  <c r="J138" i="10"/>
  <c r="N142" i="10"/>
  <c r="O138" i="10"/>
  <c r="B142" i="10"/>
  <c r="C136" i="10"/>
  <c r="H140" i="10"/>
  <c r="O137" i="10"/>
  <c r="M138" i="10"/>
  <c r="Q142" i="10"/>
  <c r="Q136" i="10"/>
  <c r="M98" i="6"/>
  <c r="L125" i="6"/>
  <c r="B126" i="6"/>
  <c r="Q127" i="6"/>
  <c r="P128" i="6"/>
  <c r="E125" i="6"/>
  <c r="E130" i="6"/>
  <c r="G128" i="6"/>
  <c r="E128" i="6"/>
  <c r="E129" i="6"/>
  <c r="R127" i="6"/>
  <c r="R125" i="6"/>
  <c r="H129" i="6"/>
  <c r="F129" i="6"/>
  <c r="G129" i="6"/>
  <c r="H130" i="6"/>
  <c r="I130" i="6"/>
  <c r="C125" i="6"/>
  <c r="Q125" i="6"/>
  <c r="O126" i="6"/>
  <c r="D128" i="6"/>
  <c r="Q126" i="6"/>
  <c r="D129" i="6"/>
  <c r="P126" i="6"/>
  <c r="C129" i="6"/>
  <c r="P127" i="6"/>
  <c r="C124" i="6"/>
  <c r="J124" i="6"/>
  <c r="P129" i="6"/>
  <c r="L126" i="6"/>
  <c r="P130" i="6"/>
  <c r="J125" i="6"/>
  <c r="N129" i="6"/>
  <c r="I125" i="6"/>
  <c r="M129" i="6"/>
  <c r="I126" i="6"/>
  <c r="M130" i="6"/>
  <c r="H126" i="6"/>
  <c r="L130" i="6"/>
  <c r="H127" i="6"/>
  <c r="G127" i="6"/>
  <c r="M127" i="6"/>
  <c r="J126" i="6"/>
  <c r="K124" i="6"/>
  <c r="N126" i="6"/>
  <c r="M126" i="6"/>
  <c r="Q124" i="6"/>
  <c r="E127" i="6"/>
  <c r="B124" i="6"/>
  <c r="C126" i="6"/>
  <c r="G130" i="6"/>
  <c r="B127" i="6"/>
  <c r="N124" i="6"/>
  <c r="B128" i="6"/>
  <c r="M124" i="6"/>
  <c r="R128" i="6"/>
  <c r="N125" i="6"/>
  <c r="C130" i="6"/>
  <c r="Q130" i="6"/>
  <c r="O130" i="6"/>
  <c r="D130" i="6"/>
  <c r="D124" i="6"/>
  <c r="H128" i="6"/>
  <c r="R130" i="6"/>
  <c r="N127" i="6"/>
  <c r="I124" i="6"/>
  <c r="N128" i="6"/>
  <c r="E126" i="6"/>
  <c r="L127" i="6"/>
  <c r="F130" i="6"/>
  <c r="K127" i="6"/>
  <c r="F124" i="6"/>
  <c r="K128" i="6"/>
  <c r="E124" i="6"/>
  <c r="J128" i="6"/>
  <c r="F125" i="6"/>
  <c r="J130" i="6"/>
  <c r="J129" i="6"/>
  <c r="I129" i="6"/>
  <c r="R124" i="6"/>
  <c r="J127" i="6"/>
  <c r="I127" i="6"/>
  <c r="M125" i="6"/>
  <c r="O127" i="6"/>
  <c r="F127" i="6"/>
  <c r="B125" i="6"/>
  <c r="F128" i="6"/>
  <c r="P124" i="6"/>
  <c r="D127" i="6"/>
  <c r="O124" i="6"/>
  <c r="C127" i="6"/>
  <c r="P125" i="6"/>
  <c r="C128" i="6"/>
  <c r="O125" i="6"/>
  <c r="B129" i="6"/>
  <c r="L124" i="6"/>
  <c r="D125" i="6"/>
  <c r="K126" i="6"/>
  <c r="N130" i="6"/>
  <c r="B130" i="6"/>
  <c r="Q129" i="6"/>
  <c r="F126" i="6"/>
  <c r="O128" i="6"/>
  <c r="K125" i="6"/>
  <c r="O129" i="6"/>
  <c r="H124" i="6"/>
  <c r="M128" i="6"/>
  <c r="G124" i="6"/>
  <c r="L128" i="6"/>
  <c r="H125" i="6"/>
  <c r="L129" i="6"/>
  <c r="G125" i="6"/>
  <c r="K129" i="6"/>
  <c r="R129" i="6"/>
  <c r="I128" i="6"/>
  <c r="K130" i="6"/>
  <c r="Q128" i="6"/>
  <c r="F131" i="5"/>
  <c r="F135" i="5"/>
  <c r="F124" i="5"/>
  <c r="F128" i="5"/>
  <c r="F126" i="5"/>
  <c r="F130" i="5"/>
  <c r="F121" i="5"/>
  <c r="F125" i="5"/>
  <c r="F136" i="5"/>
  <c r="F122" i="5"/>
  <c r="F129" i="5"/>
  <c r="F133" i="5"/>
  <c r="F123" i="5"/>
  <c r="F137" i="5"/>
  <c r="F132" i="5"/>
  <c r="F138" i="5"/>
  <c r="F127" i="5"/>
  <c r="F134" i="5"/>
  <c r="D121" i="5"/>
  <c r="D135" i="5"/>
  <c r="D129" i="5"/>
  <c r="D124" i="5"/>
  <c r="D125" i="5"/>
  <c r="D137" i="5"/>
  <c r="D132" i="5"/>
  <c r="D134" i="5"/>
  <c r="D133" i="5"/>
  <c r="D122" i="5"/>
  <c r="D127" i="5"/>
  <c r="D126" i="5"/>
  <c r="D128" i="5"/>
  <c r="D130" i="5"/>
  <c r="D138" i="5"/>
  <c r="D123" i="5"/>
  <c r="D136" i="5"/>
  <c r="D131" i="5"/>
  <c r="C127" i="5"/>
  <c r="C129" i="5"/>
  <c r="C135" i="5"/>
  <c r="C137" i="5"/>
  <c r="C133" i="5"/>
  <c r="C122" i="5"/>
  <c r="C124" i="5"/>
  <c r="C126" i="5"/>
  <c r="C130" i="5"/>
  <c r="C136" i="5"/>
  <c r="C125" i="5"/>
  <c r="C123" i="5"/>
  <c r="C128" i="5"/>
  <c r="C138" i="5"/>
  <c r="C131" i="5"/>
  <c r="C132" i="5"/>
  <c r="C121" i="5"/>
  <c r="C134" i="5"/>
  <c r="H127" i="5"/>
  <c r="H123" i="5"/>
  <c r="H135" i="5"/>
  <c r="H131" i="5"/>
  <c r="H128" i="5"/>
  <c r="H121" i="5"/>
  <c r="H126" i="5"/>
  <c r="H129" i="5"/>
  <c r="H124" i="5"/>
  <c r="H130" i="5"/>
  <c r="H138" i="5"/>
  <c r="H122" i="5"/>
  <c r="H132" i="5"/>
  <c r="H125" i="5"/>
  <c r="H134" i="5"/>
  <c r="H136" i="5"/>
  <c r="H133" i="5"/>
  <c r="H137" i="5"/>
  <c r="G123" i="5"/>
  <c r="G128" i="5"/>
  <c r="G130" i="5"/>
  <c r="G132" i="5"/>
  <c r="G125" i="5"/>
  <c r="G131" i="5"/>
  <c r="G136" i="5"/>
  <c r="G138" i="5"/>
  <c r="G133" i="5"/>
  <c r="G126" i="5"/>
  <c r="G134" i="5"/>
  <c r="G121" i="5"/>
  <c r="G124" i="5"/>
  <c r="G129" i="5"/>
  <c r="G137" i="5"/>
  <c r="G127" i="5"/>
  <c r="G135" i="5"/>
  <c r="G122" i="5"/>
  <c r="B121" i="5"/>
  <c r="B125" i="5"/>
  <c r="B128" i="5"/>
  <c r="B129" i="5"/>
  <c r="B133" i="5"/>
  <c r="B136" i="5"/>
  <c r="B127" i="5"/>
  <c r="B138" i="5"/>
  <c r="B137" i="5"/>
  <c r="B126" i="5"/>
  <c r="B130" i="5"/>
  <c r="B131" i="5"/>
  <c r="B134" i="5"/>
  <c r="B122" i="5"/>
  <c r="B124" i="5"/>
  <c r="B123" i="5"/>
  <c r="B132" i="5"/>
  <c r="B135" i="5"/>
  <c r="E137" i="5"/>
  <c r="E121" i="5"/>
  <c r="E131" i="5"/>
  <c r="E134" i="5"/>
  <c r="E128" i="5"/>
  <c r="E130" i="5"/>
  <c r="E136" i="5"/>
  <c r="E125" i="5"/>
  <c r="E129" i="5"/>
  <c r="E133" i="5"/>
  <c r="E123" i="5"/>
  <c r="E138" i="5"/>
  <c r="E126" i="5"/>
  <c r="E124" i="5"/>
  <c r="E127" i="5"/>
  <c r="E135" i="5"/>
  <c r="E132" i="5"/>
  <c r="E122" i="5"/>
  <c r="F170" i="10" l="1"/>
  <c r="F163" i="10"/>
  <c r="G160" i="10"/>
  <c r="F151" i="10"/>
  <c r="G147" i="10"/>
  <c r="F156" i="10"/>
  <c r="G152" i="10"/>
  <c r="F154" i="10"/>
  <c r="F149" i="10"/>
  <c r="F160" i="10"/>
  <c r="G148" i="10"/>
  <c r="G153" i="10"/>
  <c r="G171" i="10"/>
  <c r="D167" i="10"/>
  <c r="D160" i="10"/>
  <c r="D153" i="10"/>
  <c r="D156" i="10"/>
  <c r="D163" i="10"/>
  <c r="D168" i="10"/>
  <c r="D164" i="10"/>
  <c r="D151" i="10"/>
  <c r="D165" i="10"/>
  <c r="D171" i="10"/>
  <c r="D159" i="10"/>
  <c r="D169" i="10"/>
  <c r="D157" i="10"/>
  <c r="D170" i="10"/>
  <c r="D147" i="10"/>
  <c r="D155" i="10"/>
  <c r="D150" i="10"/>
  <c r="D154" i="10"/>
  <c r="D166" i="10"/>
  <c r="D158" i="10"/>
  <c r="D152" i="10"/>
  <c r="D161" i="10"/>
  <c r="D162" i="10"/>
  <c r="D149" i="10"/>
  <c r="D148" i="10"/>
  <c r="F147" i="10"/>
  <c r="F166" i="10"/>
  <c r="F155" i="10"/>
  <c r="G154" i="10"/>
  <c r="G156" i="10"/>
  <c r="G164" i="10"/>
  <c r="G149" i="10"/>
  <c r="G170" i="10"/>
  <c r="I170" i="10"/>
  <c r="I151" i="10"/>
  <c r="I162" i="10"/>
  <c r="I168" i="10"/>
  <c r="I169" i="10"/>
  <c r="I157" i="10"/>
  <c r="I165" i="10"/>
  <c r="I153" i="10"/>
  <c r="I159" i="10"/>
  <c r="I164" i="10"/>
  <c r="I155" i="10"/>
  <c r="I150" i="10"/>
  <c r="I147" i="10"/>
  <c r="I161" i="10"/>
  <c r="I149" i="10"/>
  <c r="I160" i="10"/>
  <c r="I154" i="10"/>
  <c r="I167" i="10"/>
  <c r="I152" i="10"/>
  <c r="I156" i="10"/>
  <c r="I166" i="10"/>
  <c r="I148" i="10"/>
  <c r="I163" i="10"/>
  <c r="I158" i="10"/>
  <c r="I171" i="10"/>
  <c r="F158" i="10"/>
  <c r="F165" i="10"/>
  <c r="F157" i="10"/>
  <c r="G151" i="10"/>
  <c r="G167" i="10"/>
  <c r="G166" i="10"/>
  <c r="G168" i="10"/>
  <c r="F153" i="10"/>
  <c r="F171" i="10"/>
  <c r="F168" i="10"/>
  <c r="F164" i="10"/>
  <c r="G157" i="10"/>
  <c r="G169" i="10"/>
  <c r="G158" i="10"/>
  <c r="H157" i="10"/>
  <c r="H150" i="10"/>
  <c r="H163" i="10"/>
  <c r="H153" i="10"/>
  <c r="H170" i="10"/>
  <c r="H160" i="10"/>
  <c r="H167" i="10"/>
  <c r="H159" i="10"/>
  <c r="H149" i="10"/>
  <c r="H171" i="10"/>
  <c r="H148" i="10"/>
  <c r="H154" i="10"/>
  <c r="H169" i="10"/>
  <c r="H155" i="10"/>
  <c r="H168" i="10"/>
  <c r="H164" i="10"/>
  <c r="H162" i="10"/>
  <c r="H147" i="10"/>
  <c r="H161" i="10"/>
  <c r="H156" i="10"/>
  <c r="H166" i="10"/>
  <c r="H165" i="10"/>
  <c r="H152" i="10"/>
  <c r="H158" i="10"/>
  <c r="H151" i="10"/>
  <c r="F169" i="10"/>
  <c r="F148" i="10"/>
  <c r="F152" i="10"/>
  <c r="G150" i="10"/>
  <c r="G165" i="10"/>
  <c r="G162" i="10"/>
  <c r="E150" i="10"/>
  <c r="E171" i="10"/>
  <c r="E151" i="10"/>
  <c r="E165" i="10"/>
  <c r="E159" i="10"/>
  <c r="E168" i="10"/>
  <c r="E160" i="10"/>
  <c r="E162" i="10"/>
  <c r="E147" i="10"/>
  <c r="E164" i="10"/>
  <c r="E156" i="10"/>
  <c r="E161" i="10"/>
  <c r="E157" i="10"/>
  <c r="E154" i="10"/>
  <c r="E170" i="10"/>
  <c r="E163" i="10"/>
  <c r="E167" i="10"/>
  <c r="E149" i="10"/>
  <c r="E148" i="10"/>
  <c r="E152" i="10"/>
  <c r="E166" i="10"/>
  <c r="E158" i="10"/>
  <c r="E155" i="10"/>
  <c r="E169" i="10"/>
  <c r="E153" i="10"/>
  <c r="F150" i="10"/>
  <c r="F162" i="10"/>
  <c r="F161" i="10"/>
  <c r="G161" i="10"/>
  <c r="G155" i="10"/>
  <c r="F167" i="10"/>
  <c r="F159" i="10"/>
  <c r="G163" i="10"/>
  <c r="G159" i="10"/>
  <c r="C147" i="10"/>
  <c r="C159" i="10"/>
  <c r="C148" i="10"/>
  <c r="C150" i="10"/>
  <c r="C163" i="10"/>
  <c r="C155" i="10"/>
  <c r="C166" i="10"/>
  <c r="C164" i="10"/>
  <c r="C151" i="10"/>
  <c r="C157" i="10"/>
  <c r="C161" i="10"/>
  <c r="C171" i="10"/>
  <c r="C152" i="10"/>
  <c r="C170" i="10"/>
  <c r="C162" i="10"/>
  <c r="C149" i="10"/>
  <c r="C154" i="10"/>
  <c r="C160" i="10"/>
  <c r="C153" i="10"/>
  <c r="C168" i="10"/>
  <c r="C169" i="10"/>
  <c r="C158" i="10"/>
  <c r="C167" i="10"/>
  <c r="C165" i="10"/>
  <c r="C156" i="10"/>
  <c r="I122" i="5"/>
  <c r="K122" i="5" s="1"/>
  <c r="I136" i="5"/>
  <c r="K136" i="5" s="1"/>
  <c r="I133" i="5"/>
  <c r="J133" i="5" s="1"/>
  <c r="I126" i="5"/>
  <c r="K126" i="5" s="1"/>
  <c r="I131" i="5"/>
  <c r="I129" i="5"/>
  <c r="I130" i="5"/>
  <c r="I128" i="5"/>
  <c r="I132" i="5"/>
  <c r="I137" i="5"/>
  <c r="I121" i="5"/>
  <c r="I134" i="5"/>
  <c r="I135" i="5"/>
  <c r="I123" i="5"/>
  <c r="I138" i="5"/>
  <c r="I125" i="5"/>
  <c r="I124" i="5"/>
  <c r="I127" i="5"/>
  <c r="J156" i="10" l="1"/>
  <c r="K156" i="10" s="1"/>
  <c r="J147" i="10"/>
  <c r="L147" i="10" s="1"/>
  <c r="J155" i="10"/>
  <c r="L155" i="10" s="1"/>
  <c r="J165" i="10"/>
  <c r="K165" i="10" s="1"/>
  <c r="J154" i="10"/>
  <c r="K154" i="10" s="1"/>
  <c r="J166" i="10"/>
  <c r="L166" i="10" s="1"/>
  <c r="J152" i="10"/>
  <c r="L152" i="10" s="1"/>
  <c r="J163" i="10"/>
  <c r="L163" i="10" s="1"/>
  <c r="J161" i="10"/>
  <c r="L161" i="10" s="1"/>
  <c r="J169" i="10"/>
  <c r="K169" i="10" s="1"/>
  <c r="J149" i="10"/>
  <c r="L149" i="10" s="1"/>
  <c r="J164" i="10"/>
  <c r="K164" i="10" s="1"/>
  <c r="J167" i="10"/>
  <c r="J162" i="10"/>
  <c r="K166" i="10"/>
  <c r="J170" i="10"/>
  <c r="J168" i="10"/>
  <c r="J171" i="10"/>
  <c r="J150" i="10"/>
  <c r="J153" i="10"/>
  <c r="J148" i="10"/>
  <c r="J158" i="10"/>
  <c r="J160" i="10"/>
  <c r="J157" i="10"/>
  <c r="J159" i="10"/>
  <c r="L156" i="10"/>
  <c r="J151" i="10"/>
  <c r="K133" i="5"/>
  <c r="J122" i="5"/>
  <c r="J126" i="5"/>
  <c r="J136" i="5"/>
  <c r="K124" i="5"/>
  <c r="J124" i="5"/>
  <c r="J125" i="5"/>
  <c r="K125" i="5"/>
  <c r="J128" i="5"/>
  <c r="K128" i="5"/>
  <c r="J121" i="5"/>
  <c r="K121" i="5"/>
  <c r="K130" i="5"/>
  <c r="J130" i="5"/>
  <c r="K137" i="5"/>
  <c r="J137" i="5"/>
  <c r="J129" i="5"/>
  <c r="K129" i="5"/>
  <c r="K138" i="5"/>
  <c r="J138" i="5"/>
  <c r="J132" i="5"/>
  <c r="K132" i="5"/>
  <c r="J131" i="5"/>
  <c r="K131" i="5"/>
  <c r="K123" i="5"/>
  <c r="J123" i="5"/>
  <c r="K135" i="5"/>
  <c r="J135" i="5"/>
  <c r="K127" i="5"/>
  <c r="J127" i="5"/>
  <c r="J134" i="5"/>
  <c r="K134" i="5"/>
  <c r="K147" i="10" l="1"/>
  <c r="L154" i="10"/>
  <c r="L165" i="10"/>
  <c r="K155" i="10"/>
  <c r="L164" i="10"/>
  <c r="K163" i="10"/>
  <c r="L169" i="10"/>
  <c r="K161" i="10"/>
  <c r="K152" i="10"/>
  <c r="K149" i="10"/>
  <c r="K170" i="10"/>
  <c r="L170" i="10"/>
  <c r="L168" i="10"/>
  <c r="K168" i="10"/>
  <c r="K159" i="10"/>
  <c r="L159" i="10"/>
  <c r="L162" i="10"/>
  <c r="K162" i="10"/>
  <c r="K167" i="10"/>
  <c r="L167" i="10"/>
  <c r="K148" i="10"/>
  <c r="L148" i="10"/>
  <c r="K150" i="10"/>
  <c r="L150" i="10"/>
  <c r="K151" i="10"/>
  <c r="L151" i="10"/>
  <c r="L157" i="10"/>
  <c r="K157" i="10"/>
  <c r="L153" i="10"/>
  <c r="K153" i="10"/>
  <c r="K160" i="10"/>
  <c r="L160" i="10"/>
  <c r="L158" i="10"/>
  <c r="K158" i="10"/>
  <c r="K171" i="10"/>
  <c r="L171" i="10"/>
  <c r="L121" i="5"/>
  <c r="N99" i="8"/>
  <c r="H100" i="8"/>
  <c r="G100" i="8"/>
  <c r="R97" i="8"/>
  <c r="F100" i="8"/>
  <c r="E98" i="8"/>
  <c r="K100" i="8"/>
  <c r="E97" i="8"/>
  <c r="C98" i="8"/>
  <c r="J99" i="8"/>
  <c r="Q99" i="8"/>
  <c r="P98" i="8"/>
  <c r="I98" i="8"/>
  <c r="G97" i="8"/>
  <c r="J100" i="8"/>
  <c r="K99" i="8"/>
  <c r="Q97" i="8"/>
  <c r="L97" i="8"/>
  <c r="F97" i="8"/>
  <c r="H116" i="8"/>
  <c r="L98" i="8"/>
  <c r="H99" i="8"/>
  <c r="G98" i="8"/>
  <c r="F99" i="8"/>
  <c r="H97" i="8"/>
  <c r="M97" i="8"/>
  <c r="N100" i="8"/>
  <c r="O97" i="8"/>
  <c r="B98" i="8"/>
  <c r="B100" i="8"/>
  <c r="L99" i="8"/>
  <c r="D97" i="8"/>
  <c r="R100" i="8"/>
  <c r="O99" i="8"/>
  <c r="G99" i="8"/>
  <c r="F98" i="8"/>
  <c r="I97" i="8"/>
  <c r="I99" i="8"/>
  <c r="E99" i="8"/>
  <c r="N98" i="8"/>
  <c r="P100" i="8"/>
  <c r="D100" i="8"/>
  <c r="P97" i="8"/>
  <c r="O100" i="8"/>
  <c r="R99" i="8"/>
  <c r="P99" i="8"/>
  <c r="K98" i="8"/>
  <c r="E100" i="8"/>
  <c r="M98" i="8"/>
  <c r="L100" i="8"/>
  <c r="O98" i="8"/>
  <c r="M99" i="8"/>
  <c r="D99" i="8"/>
  <c r="I100" i="8"/>
  <c r="C99" i="8"/>
  <c r="C97" i="8"/>
  <c r="M100" i="8"/>
  <c r="B99" i="8"/>
  <c r="Q100" i="8"/>
  <c r="H98" i="8"/>
  <c r="Q98" i="8"/>
  <c r="D98" i="8"/>
  <c r="J98" i="8"/>
  <c r="N97" i="8"/>
  <c r="R98" i="8"/>
  <c r="J97" i="8"/>
  <c r="C100" i="8"/>
  <c r="K97" i="8"/>
  <c r="D136" i="8"/>
  <c r="D137" i="8"/>
  <c r="L137" i="8"/>
  <c r="L138" i="8"/>
  <c r="L139" i="8"/>
  <c r="E136" i="8"/>
  <c r="E137" i="8"/>
  <c r="E138" i="8"/>
  <c r="E139" i="8"/>
  <c r="M139" i="8"/>
  <c r="F136" i="8"/>
  <c r="N136" i="8"/>
  <c r="N137" i="8"/>
  <c r="F139" i="8"/>
  <c r="N139" i="8"/>
  <c r="G136" i="8"/>
  <c r="O136" i="8"/>
  <c r="O137" i="8"/>
  <c r="G139" i="8"/>
  <c r="H136" i="8"/>
  <c r="H137" i="8"/>
  <c r="P137" i="8"/>
  <c r="H139" i="8"/>
  <c r="I136" i="8"/>
  <c r="Q136" i="8"/>
  <c r="Q137" i="8"/>
  <c r="I139" i="8"/>
  <c r="J136" i="8"/>
  <c r="R136" i="8"/>
  <c r="J137" i="8"/>
  <c r="R137" i="8"/>
  <c r="J138" i="8"/>
  <c r="R138" i="8"/>
  <c r="J139" i="8"/>
  <c r="R139" i="8"/>
  <c r="L136" i="8"/>
  <c r="D138" i="8"/>
  <c r="D139" i="8"/>
  <c r="M136" i="8"/>
  <c r="M137" i="8"/>
  <c r="M138" i="8"/>
  <c r="F137" i="8"/>
  <c r="F138" i="8"/>
  <c r="N138" i="8"/>
  <c r="B139" i="8"/>
  <c r="G137" i="8"/>
  <c r="G138" i="8"/>
  <c r="O138" i="8"/>
  <c r="O139" i="8"/>
  <c r="B138" i="8"/>
  <c r="P136" i="8"/>
  <c r="H138" i="8"/>
  <c r="P138" i="8"/>
  <c r="P139" i="8"/>
  <c r="B137" i="8"/>
  <c r="I137" i="8"/>
  <c r="I138" i="8"/>
  <c r="Q138" i="8"/>
  <c r="Q139" i="8"/>
  <c r="C136" i="8"/>
  <c r="K136" i="8"/>
  <c r="C137" i="8"/>
  <c r="K137" i="8"/>
  <c r="C138" i="8"/>
  <c r="K138" i="8"/>
  <c r="C139" i="8"/>
  <c r="K139" i="8"/>
  <c r="M147" i="10" l="1"/>
  <c r="I166" i="8"/>
  <c r="C120" i="8"/>
  <c r="G120" i="8"/>
  <c r="D119" i="8"/>
  <c r="E158" i="8"/>
  <c r="D162" i="8"/>
  <c r="I125" i="8"/>
  <c r="D130" i="8"/>
  <c r="I114" i="8"/>
  <c r="D127" i="8"/>
  <c r="C126" i="8"/>
  <c r="F169" i="8"/>
  <c r="D157" i="8"/>
  <c r="I170" i="8"/>
  <c r="E108" i="8"/>
  <c r="E147" i="8"/>
  <c r="E109" i="8"/>
  <c r="I169" i="8"/>
  <c r="D154" i="8"/>
  <c r="F164" i="8"/>
  <c r="D112" i="8"/>
  <c r="I160" i="8"/>
  <c r="H165" i="8"/>
  <c r="E121" i="8"/>
  <c r="G128" i="8"/>
  <c r="C108" i="8"/>
  <c r="E169" i="8"/>
  <c r="C159" i="8"/>
  <c r="C170" i="8"/>
  <c r="C165" i="8"/>
  <c r="G161" i="8"/>
  <c r="G163" i="8"/>
  <c r="G157" i="8"/>
  <c r="G171" i="8"/>
  <c r="G168" i="8"/>
  <c r="G156" i="8"/>
  <c r="G152" i="8"/>
  <c r="G155" i="8"/>
  <c r="G154" i="8"/>
  <c r="G151" i="8"/>
  <c r="F111" i="8"/>
  <c r="F125" i="8"/>
  <c r="F130" i="8"/>
  <c r="F109" i="8"/>
  <c r="F126" i="8"/>
  <c r="F131" i="8"/>
  <c r="F124" i="8"/>
  <c r="F127" i="8"/>
  <c r="H118" i="8"/>
  <c r="G111" i="8"/>
  <c r="G123" i="8"/>
  <c r="D129" i="8"/>
  <c r="E126" i="8"/>
  <c r="I115" i="8"/>
  <c r="F121" i="8"/>
  <c r="C127" i="8"/>
  <c r="H170" i="8"/>
  <c r="I153" i="8"/>
  <c r="D155" i="8"/>
  <c r="F171" i="8"/>
  <c r="G158" i="8"/>
  <c r="E159" i="8"/>
  <c r="C163" i="8"/>
  <c r="H108" i="8"/>
  <c r="G131" i="8"/>
  <c r="D122" i="8"/>
  <c r="E127" i="8"/>
  <c r="I108" i="8"/>
  <c r="F117" i="8"/>
  <c r="C109" i="8"/>
  <c r="C112" i="8"/>
  <c r="H152" i="8"/>
  <c r="I148" i="8"/>
  <c r="D160" i="8"/>
  <c r="F168" i="8"/>
  <c r="G162" i="8"/>
  <c r="E170" i="8"/>
  <c r="C160" i="8"/>
  <c r="H115" i="8"/>
  <c r="H113" i="8"/>
  <c r="H126" i="8"/>
  <c r="H122" i="8"/>
  <c r="H131" i="8"/>
  <c r="H119" i="8"/>
  <c r="H110" i="8"/>
  <c r="G115" i="8"/>
  <c r="D124" i="8"/>
  <c r="D108" i="8"/>
  <c r="E116" i="8"/>
  <c r="I112" i="8"/>
  <c r="F123" i="8"/>
  <c r="C111" i="8"/>
  <c r="H166" i="8"/>
  <c r="I164" i="8"/>
  <c r="D156" i="8"/>
  <c r="F155" i="8"/>
  <c r="G150" i="8"/>
  <c r="E161" i="8"/>
  <c r="C150" i="8"/>
  <c r="G110" i="8"/>
  <c r="G117" i="8"/>
  <c r="G112" i="8"/>
  <c r="G127" i="8"/>
  <c r="G121" i="8"/>
  <c r="G129" i="8"/>
  <c r="H128" i="8"/>
  <c r="G130" i="8"/>
  <c r="D123" i="8"/>
  <c r="E111" i="8"/>
  <c r="I126" i="8"/>
  <c r="F122" i="8"/>
  <c r="C116" i="8"/>
  <c r="H163" i="8"/>
  <c r="I162" i="8"/>
  <c r="D169" i="8"/>
  <c r="F160" i="8"/>
  <c r="G169" i="8"/>
  <c r="E149" i="8"/>
  <c r="C148" i="8"/>
  <c r="C166" i="8"/>
  <c r="H112" i="8"/>
  <c r="G109" i="8"/>
  <c r="D125" i="8"/>
  <c r="E130" i="8"/>
  <c r="E113" i="8"/>
  <c r="I129" i="8"/>
  <c r="F120" i="8"/>
  <c r="C128" i="8"/>
  <c r="H160" i="8"/>
  <c r="I167" i="8"/>
  <c r="D165" i="8"/>
  <c r="F166" i="8"/>
  <c r="G148" i="8"/>
  <c r="E155" i="8"/>
  <c r="C158" i="8"/>
  <c r="E154" i="8"/>
  <c r="E150" i="8"/>
  <c r="E164" i="8"/>
  <c r="E167" i="8"/>
  <c r="E162" i="8"/>
  <c r="E152" i="8"/>
  <c r="E157" i="8"/>
  <c r="E166" i="8"/>
  <c r="E163" i="8"/>
  <c r="E148" i="8"/>
  <c r="H117" i="8"/>
  <c r="G119" i="8"/>
  <c r="D111" i="8"/>
  <c r="E110" i="8"/>
  <c r="E118" i="8"/>
  <c r="I123" i="8"/>
  <c r="F118" i="8"/>
  <c r="C129" i="8"/>
  <c r="H169" i="8"/>
  <c r="I154" i="8"/>
  <c r="D151" i="8"/>
  <c r="F152" i="8"/>
  <c r="G167" i="8"/>
  <c r="E151" i="8"/>
  <c r="C149" i="8"/>
  <c r="D159" i="8"/>
  <c r="E128" i="8"/>
  <c r="H130" i="8"/>
  <c r="H114" i="8"/>
  <c r="H109" i="8"/>
  <c r="G118" i="8"/>
  <c r="G124" i="8"/>
  <c r="D126" i="8"/>
  <c r="E117" i="8"/>
  <c r="E131" i="8"/>
  <c r="I130" i="8"/>
  <c r="I117" i="8"/>
  <c r="F108" i="8"/>
  <c r="F129" i="8"/>
  <c r="C121" i="8"/>
  <c r="C123" i="8"/>
  <c r="C114" i="8"/>
  <c r="H153" i="8"/>
  <c r="I155" i="8"/>
  <c r="D168" i="8"/>
  <c r="F170" i="8"/>
  <c r="G149" i="8"/>
  <c r="G153" i="8"/>
  <c r="E160" i="8"/>
  <c r="C152" i="8"/>
  <c r="C168" i="8"/>
  <c r="H147" i="8"/>
  <c r="H148" i="8"/>
  <c r="H154" i="8"/>
  <c r="H167" i="8"/>
  <c r="H151" i="8"/>
  <c r="H159" i="8"/>
  <c r="H158" i="8"/>
  <c r="H150" i="8"/>
  <c r="H149" i="8"/>
  <c r="H124" i="8"/>
  <c r="G113" i="8"/>
  <c r="D116" i="8"/>
  <c r="I131" i="8"/>
  <c r="F110" i="8"/>
  <c r="C124" i="8"/>
  <c r="H168" i="8"/>
  <c r="D158" i="8"/>
  <c r="G147" i="8"/>
  <c r="C153" i="8"/>
  <c r="C151" i="8"/>
  <c r="G122" i="8"/>
  <c r="I118" i="8"/>
  <c r="F128" i="8"/>
  <c r="C117" i="8"/>
  <c r="H156" i="8"/>
  <c r="F167" i="8"/>
  <c r="G170" i="8"/>
  <c r="C156" i="8"/>
  <c r="H129" i="8"/>
  <c r="D113" i="8"/>
  <c r="E119" i="8"/>
  <c r="F115" i="8"/>
  <c r="C122" i="8"/>
  <c r="C131" i="8"/>
  <c r="H161" i="8"/>
  <c r="I147" i="8"/>
  <c r="D161" i="8"/>
  <c r="F163" i="8"/>
  <c r="G166" i="8"/>
  <c r="E165" i="8"/>
  <c r="C167" i="8"/>
  <c r="C164" i="8"/>
  <c r="I122" i="8"/>
  <c r="I124" i="8"/>
  <c r="I128" i="8"/>
  <c r="I120" i="8"/>
  <c r="I110" i="8"/>
  <c r="I127" i="8"/>
  <c r="H127" i="8"/>
  <c r="G108" i="8"/>
  <c r="D109" i="8"/>
  <c r="E129" i="8"/>
  <c r="I109" i="8"/>
  <c r="F116" i="8"/>
  <c r="C113" i="8"/>
  <c r="H171" i="8"/>
  <c r="I156" i="8"/>
  <c r="G165" i="8"/>
  <c r="E156" i="8"/>
  <c r="C157" i="8"/>
  <c r="C169" i="8"/>
  <c r="D171" i="8"/>
  <c r="D153" i="8"/>
  <c r="D147" i="8"/>
  <c r="F162" i="8"/>
  <c r="F158" i="8"/>
  <c r="F151" i="8"/>
  <c r="F150" i="8"/>
  <c r="F153" i="8"/>
  <c r="F159" i="8"/>
  <c r="F149" i="8"/>
  <c r="F156" i="8"/>
  <c r="F148" i="8"/>
  <c r="F147" i="8"/>
  <c r="H120" i="8"/>
  <c r="G116" i="8"/>
  <c r="E120" i="8"/>
  <c r="I121" i="8"/>
  <c r="F113" i="8"/>
  <c r="C125" i="8"/>
  <c r="C110" i="8"/>
  <c r="H157" i="8"/>
  <c r="I165" i="8"/>
  <c r="D163" i="8"/>
  <c r="F157" i="8"/>
  <c r="G159" i="8"/>
  <c r="C161" i="8"/>
  <c r="D117" i="8"/>
  <c r="D118" i="8"/>
  <c r="D121" i="8"/>
  <c r="D110" i="8"/>
  <c r="D128" i="8"/>
  <c r="D115" i="8"/>
  <c r="H111" i="8"/>
  <c r="G126" i="8"/>
  <c r="D120" i="8"/>
  <c r="E124" i="8"/>
  <c r="I113" i="8"/>
  <c r="F119" i="8"/>
  <c r="C130" i="8"/>
  <c r="C115" i="8"/>
  <c r="H162" i="8"/>
  <c r="D170" i="8"/>
  <c r="F154" i="8"/>
  <c r="G164" i="8"/>
  <c r="E168" i="8"/>
  <c r="C155" i="8"/>
  <c r="C162" i="8"/>
  <c r="I152" i="8"/>
  <c r="I151" i="8"/>
  <c r="I150" i="8"/>
  <c r="I157" i="8"/>
  <c r="I149" i="8"/>
  <c r="I163" i="8"/>
  <c r="I168" i="8"/>
  <c r="I161" i="8"/>
  <c r="I171" i="8"/>
  <c r="H125" i="8"/>
  <c r="H121" i="8"/>
  <c r="H123" i="8"/>
  <c r="G114" i="8"/>
  <c r="G125" i="8"/>
  <c r="D114" i="8"/>
  <c r="D131" i="8"/>
  <c r="E115" i="8"/>
  <c r="I119" i="8"/>
  <c r="I116" i="8"/>
  <c r="I111" i="8"/>
  <c r="F114" i="8"/>
  <c r="F112" i="8"/>
  <c r="C118" i="8"/>
  <c r="C119" i="8"/>
  <c r="H155" i="8"/>
  <c r="H164" i="8"/>
  <c r="I158" i="8"/>
  <c r="I159" i="8"/>
  <c r="D167" i="8"/>
  <c r="D152" i="8"/>
  <c r="F165" i="8"/>
  <c r="F161" i="8"/>
  <c r="G160" i="8"/>
  <c r="E153" i="8"/>
  <c r="E171" i="8"/>
  <c r="C171" i="8"/>
  <c r="C154" i="8"/>
  <c r="C147" i="8"/>
  <c r="E112" i="8"/>
  <c r="E125" i="8"/>
  <c r="E114" i="8"/>
  <c r="D149" i="8"/>
  <c r="D166" i="8"/>
  <c r="D150" i="8"/>
  <c r="E123" i="8"/>
  <c r="E122" i="8"/>
  <c r="D164" i="8"/>
  <c r="D148" i="8"/>
  <c r="J120" i="8" l="1"/>
  <c r="K120" i="8" s="1"/>
  <c r="J158" i="8"/>
  <c r="K158" i="8" s="1"/>
  <c r="J165" i="8"/>
  <c r="J126" i="8"/>
  <c r="L126" i="8" s="1"/>
  <c r="J166" i="8"/>
  <c r="K166" i="8" s="1"/>
  <c r="J108" i="8"/>
  <c r="K108" i="8" s="1"/>
  <c r="J112" i="8"/>
  <c r="K112" i="8" s="1"/>
  <c r="J130" i="8"/>
  <c r="K130" i="8" s="1"/>
  <c r="J123" i="8"/>
  <c r="K123" i="8" s="1"/>
  <c r="J128" i="8"/>
  <c r="J127" i="8"/>
  <c r="L127" i="8" s="1"/>
  <c r="J169" i="8"/>
  <c r="K169" i="8" s="1"/>
  <c r="J148" i="8"/>
  <c r="K148" i="8" s="1"/>
  <c r="L108" i="8"/>
  <c r="J115" i="8"/>
  <c r="J121" i="8"/>
  <c r="J163" i="8"/>
  <c r="J119" i="8"/>
  <c r="J151" i="8"/>
  <c r="J160" i="8"/>
  <c r="J155" i="8"/>
  <c r="J153" i="8"/>
  <c r="J147" i="8"/>
  <c r="J131" i="8"/>
  <c r="J111" i="8"/>
  <c r="J154" i="8"/>
  <c r="J110" i="8"/>
  <c r="J122" i="8"/>
  <c r="J150" i="8"/>
  <c r="J125" i="8"/>
  <c r="J117" i="8"/>
  <c r="J168" i="8"/>
  <c r="J149" i="8"/>
  <c r="K128" i="8"/>
  <c r="L128" i="8"/>
  <c r="J116" i="8"/>
  <c r="L158" i="8"/>
  <c r="J162" i="8"/>
  <c r="J157" i="8"/>
  <c r="J156" i="8"/>
  <c r="J109" i="8"/>
  <c r="K165" i="8"/>
  <c r="L165" i="8"/>
  <c r="J118" i="8"/>
  <c r="J170" i="8"/>
  <c r="J164" i="8"/>
  <c r="J159" i="8"/>
  <c r="J167" i="8"/>
  <c r="J171" i="8"/>
  <c r="J161" i="8"/>
  <c r="J113" i="8"/>
  <c r="J124" i="8"/>
  <c r="J152" i="8"/>
  <c r="J114" i="8"/>
  <c r="J129" i="8"/>
  <c r="L120" i="8" l="1"/>
  <c r="K127" i="8"/>
  <c r="L112" i="8"/>
  <c r="L148" i="8"/>
  <c r="L169" i="8"/>
  <c r="K126" i="8"/>
  <c r="L166" i="8"/>
  <c r="L123" i="8"/>
  <c r="L130" i="8"/>
  <c r="L109" i="8"/>
  <c r="K109" i="8"/>
  <c r="L111" i="8"/>
  <c r="K111" i="8"/>
  <c r="L129" i="8"/>
  <c r="K129" i="8"/>
  <c r="K131" i="8"/>
  <c r="L131" i="8"/>
  <c r="K164" i="8"/>
  <c r="L164" i="8"/>
  <c r="L170" i="8"/>
  <c r="K170" i="8"/>
  <c r="K125" i="8"/>
  <c r="L125" i="8"/>
  <c r="L124" i="8"/>
  <c r="K124" i="8"/>
  <c r="L118" i="8"/>
  <c r="K118" i="8"/>
  <c r="L150" i="8"/>
  <c r="K150" i="8"/>
  <c r="K155" i="8"/>
  <c r="L155" i="8"/>
  <c r="K115" i="8"/>
  <c r="L115" i="8"/>
  <c r="K113" i="8"/>
  <c r="L113" i="8"/>
  <c r="L122" i="8"/>
  <c r="K122" i="8"/>
  <c r="K160" i="8"/>
  <c r="L160" i="8"/>
  <c r="K171" i="8"/>
  <c r="L171" i="8"/>
  <c r="L154" i="8"/>
  <c r="K154" i="8"/>
  <c r="L167" i="8"/>
  <c r="K167" i="8"/>
  <c r="L156" i="8"/>
  <c r="K156" i="8"/>
  <c r="L159" i="8"/>
  <c r="K159" i="8"/>
  <c r="K157" i="8"/>
  <c r="L157" i="8"/>
  <c r="L168" i="8"/>
  <c r="K168" i="8"/>
  <c r="L119" i="8"/>
  <c r="K119" i="8"/>
  <c r="L114" i="8"/>
  <c r="K114" i="8"/>
  <c r="L162" i="8"/>
  <c r="K162" i="8"/>
  <c r="L117" i="8"/>
  <c r="K117" i="8"/>
  <c r="L147" i="8"/>
  <c r="K147" i="8"/>
  <c r="L163" i="8"/>
  <c r="K163" i="8"/>
  <c r="K152" i="8"/>
  <c r="L152" i="8"/>
  <c r="L116" i="8"/>
  <c r="K116" i="8"/>
  <c r="K153" i="8"/>
  <c r="L153" i="8"/>
  <c r="K121" i="8"/>
  <c r="L121" i="8"/>
  <c r="L161" i="8"/>
  <c r="K161" i="8"/>
  <c r="L149" i="8"/>
  <c r="K149" i="8"/>
  <c r="K110" i="8"/>
  <c r="L110" i="8"/>
  <c r="K151" i="8"/>
  <c r="L151" i="8"/>
  <c r="M108" i="8" l="1"/>
  <c r="M147"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<sst xmlns="http://schemas.openxmlformats.org/spreadsheetml/2006/main" count="3150" uniqueCount="338">
  <si>
    <t>Nama</t>
  </si>
  <si>
    <t>NIM</t>
  </si>
  <si>
    <t>Semester</t>
  </si>
  <si>
    <t>IPK</t>
  </si>
  <si>
    <t>Dio Ale</t>
  </si>
  <si>
    <t>Miftachus Zien</t>
  </si>
  <si>
    <t>Reyhan Naufaldi</t>
  </si>
  <si>
    <t>Bagas Andrianto</t>
  </si>
  <si>
    <t>Irsyad Armand</t>
  </si>
  <si>
    <t>13.2022.1.01138</t>
  </si>
  <si>
    <t>13.2022.1.01104</t>
  </si>
  <si>
    <t>13.2022.1.01074</t>
  </si>
  <si>
    <t>13.2022.1.01134</t>
  </si>
  <si>
    <t>13.2023.1.01216</t>
  </si>
  <si>
    <t>Minat Jaringan</t>
  </si>
  <si>
    <t>Skill UI/UX</t>
  </si>
  <si>
    <t>Skill Database</t>
  </si>
  <si>
    <t>Skill Analisis Data</t>
  </si>
  <si>
    <t>Skill Jaringan</t>
  </si>
  <si>
    <t>Minat UI/UX</t>
  </si>
  <si>
    <t>Minat Manajemen IT</t>
  </si>
  <si>
    <t>Skill Manajemen Proyek</t>
  </si>
  <si>
    <t>Bagian Identitas</t>
  </si>
  <si>
    <t>Jumlah Sertifikat Bidang Sistem Informasi</t>
  </si>
  <si>
    <t>Minat Sains Data (Mining, AI, Machine Learning)</t>
  </si>
  <si>
    <t>Minat Analisis Data (SPK, Peramalan)</t>
  </si>
  <si>
    <t>Skill Pemrograman (Web, java, python, backend)</t>
  </si>
  <si>
    <t>Minat Database</t>
  </si>
  <si>
    <t>Bagian Keterampilan / Skill (*Skala 1 - 3. Dengan 1 =  Lemah, 2 = Cukup Baik, dan 3  = Sangat Baik)</t>
  </si>
  <si>
    <t>Bagian Peminatan (*Skala 1 - 3. Dengan 1 = Kurang Minat, 2 = Cukup Minat, dan 3  = Sangat Minat)</t>
  </si>
  <si>
    <t>Nilai Data Analyst</t>
  </si>
  <si>
    <t>Nilai System Analyst</t>
  </si>
  <si>
    <t>Nilai Application Developer</t>
  </si>
  <si>
    <t>Nilai IT Auditor &amp; Governance</t>
  </si>
  <si>
    <t xml:space="preserve">*catatan : </t>
  </si>
  <si>
    <t>1. Mata kuliah yang berhubungan dengan Data Analyst (Matematika, Matematika Diskrit, Sistem Basis Data, Prak. Sistem Basis Data, Statistik dan Probabilitas, Sistem Basis Data Lanjut, Riset Operasi, Gudang Data, Sistem Pendukung Keputusan, Kecerdasan Bisnis, Temu Kembali Informasi, Teknik Peramalan, Sistem Rekomendasi, Penambangan Data, Sistem Informasi Intelegensia, Model dan Simulasi Sistem)</t>
  </si>
  <si>
    <t>4. Mata kuliah yang berhubungan dengan IT Auditor &amp; Governance (Manajemen Risiko TI, Tata Kelola dan Audit SI/TI, Pengukuran Kinerja SI/TI, Manajemen Layanan SI/TI)</t>
  </si>
  <si>
    <t>Nilai Rata-rata Bagian Mata Kuliah yang Berhubungan (*Skala 1 - 3. Dengan 1 = E hingga C+, 2 = B- hingga B+, dan 3 = A- hingga A+)</t>
  </si>
  <si>
    <t>3. Mata kuliah yang berhubungan dengan Application Developer (Sistem dan Teknologi Informasi, Algoritma &amp; Pemrograman Terstruktur, Prak. Algo. &amp; Pemrog. Terstruktur, Sistem Operasi, Pemrograman Berorientasi Objek, Prak. Pemrograman Berorientasi Objek, Interaksi Manusia dan Komputer, Pengembangan Antarmuka Sistem, Desain dan Manajemen Jaringan, Prak. Desain dan Manajemen Jaringan, Sistem Informasi Manajemen, Pemrograman Web, Prak. Pemrograman Web, Struktur Data, Pemrograman Web Lanjut, Prak. Pemrograman Web Lanjut, Komputasi Awan, Manajemen Proyek Sistem Informasi, Keamanan SI/TI, Proyek Sistem Informasi)</t>
  </si>
  <si>
    <t>Minat RPL (Mobile, Web, Bisnis Digital)</t>
  </si>
  <si>
    <t>MHS</t>
  </si>
  <si>
    <t>A</t>
  </si>
  <si>
    <t>B</t>
  </si>
  <si>
    <t>C</t>
  </si>
  <si>
    <t>D</t>
  </si>
  <si>
    <t>E</t>
  </si>
  <si>
    <t>Mahasiswa</t>
  </si>
  <si>
    <t>Cluster</t>
  </si>
  <si>
    <t>M1</t>
  </si>
  <si>
    <t>C1</t>
  </si>
  <si>
    <t>M2</t>
  </si>
  <si>
    <t>M3</t>
  </si>
  <si>
    <t>M4</t>
  </si>
  <si>
    <t>C2</t>
  </si>
  <si>
    <t>M5</t>
  </si>
  <si>
    <t>d(C2)</t>
  </si>
  <si>
    <t>d(C3)</t>
  </si>
  <si>
    <t>d(C4)</t>
  </si>
  <si>
    <t>C3</t>
  </si>
  <si>
    <t>C4</t>
  </si>
  <si>
    <t>d(C1) RPL</t>
  </si>
  <si>
    <t>Jarak c1</t>
  </si>
  <si>
    <t>Jarak c2</t>
  </si>
  <si>
    <t>Jarak c3</t>
  </si>
  <si>
    <t>Minat RPL</t>
  </si>
  <si>
    <t>Minat Sains Data</t>
  </si>
  <si>
    <t>Minat Analisis Data</t>
  </si>
  <si>
    <t>Skill Pemrograman</t>
  </si>
  <si>
    <t>Fajar Pratama</t>
  </si>
  <si>
    <t>13.2023.1.01217</t>
  </si>
  <si>
    <t>Nabila Putri</t>
  </si>
  <si>
    <t>13.2023.1.01218</t>
  </si>
  <si>
    <t>Aldi Saputra</t>
  </si>
  <si>
    <t>13.2022.1.01139</t>
  </si>
  <si>
    <t>Siti Rahma</t>
  </si>
  <si>
    <t>13.2022.1.01140</t>
  </si>
  <si>
    <t>CENTEROID 1</t>
  </si>
  <si>
    <t>Rendy Prakoso</t>
  </si>
  <si>
    <t>13.2023.1.01219</t>
  </si>
  <si>
    <t>Jarak C1</t>
  </si>
  <si>
    <t>Jarak C2</t>
  </si>
  <si>
    <t>Jarak C3</t>
  </si>
  <si>
    <t>Jarak C4</t>
  </si>
  <si>
    <t>Jarak C5</t>
  </si>
  <si>
    <t>Jarak C6</t>
  </si>
  <si>
    <t>Jarak C7</t>
  </si>
  <si>
    <t>Jarak minimum</t>
  </si>
  <si>
    <t>CLUSTER</t>
  </si>
  <si>
    <t>C5</t>
  </si>
  <si>
    <t>reyhan</t>
  </si>
  <si>
    <t>zein,Fajar Pratama</t>
  </si>
  <si>
    <t>Dio ale,Bagas Andrianto,Nabila Putri,Aldi Saputra</t>
  </si>
  <si>
    <t>Irsyad Armand,Siti Rahma</t>
  </si>
  <si>
    <t>rendy</t>
  </si>
  <si>
    <t>CENTEROID 2</t>
  </si>
  <si>
    <t>Dio Ale,Miftachus Zien,Reyhan Naufaldi,Bagas Andrianto,Irsyad Armand,Fajar Pratama,Nabila Putri,Aldi Saputra, Siti Rahma</t>
  </si>
  <si>
    <t>CENTEROID 3</t>
  </si>
  <si>
    <t>CENTEROID 4</t>
  </si>
  <si>
    <t>Si (Rata-rata jarak intra-cluster)</t>
  </si>
  <si>
    <t>C1-C3</t>
  </si>
  <si>
    <t>Rij</t>
  </si>
  <si>
    <t>Mij Jarak antar centeroid</t>
  </si>
  <si>
    <t>DBI</t>
  </si>
  <si>
    <t>INCLUDEAN</t>
  </si>
  <si>
    <t>WCV</t>
  </si>
  <si>
    <t>Timestamp</t>
  </si>
  <si>
    <t>nama</t>
  </si>
  <si>
    <t>npm</t>
  </si>
  <si>
    <t>ipk</t>
  </si>
  <si>
    <t>semester</t>
  </si>
  <si>
    <t xml:space="preserve">Seberapa berminat Anda pada Rekayasa Perangkat Lunak (Mobile, Web, Bisnis Digital)?  </t>
  </si>
  <si>
    <t xml:space="preserve">Seberapa berminat Anda pada UI/UX?  </t>
  </si>
  <si>
    <t xml:space="preserve">Seberapa berminat Anda pada Sains Data (Data Mining, AI, Machine Learning)? </t>
  </si>
  <si>
    <t xml:space="preserve">Seberapa berminat Anda pada Manajemen IT?  </t>
  </si>
  <si>
    <t xml:space="preserve">Seberapa berminat Anda pada Analisis Data (Sistem Pendukung Keputusan, Peramalan) ?  </t>
  </si>
  <si>
    <t xml:space="preserve">Seberapa berminat Anda pada Database?  </t>
  </si>
  <si>
    <t>Seberapa berminat Anda pada Jaringan Komputer?</t>
  </si>
  <si>
    <t>Keterampilan pemrograman (Web,Java,Python)</t>
  </si>
  <si>
    <t>Keterampilan UI/UX</t>
  </si>
  <si>
    <t>Keterampilan Manajemen Proyek</t>
  </si>
  <si>
    <t>Keterampilan Database</t>
  </si>
  <si>
    <t>Keterampilan Analisis Data</t>
  </si>
  <si>
    <t>Keterampilan Jaringan</t>
  </si>
  <si>
    <t>total_sks_ditempuh</t>
  </si>
  <si>
    <t>Berapa nilai rata-rata mata kuliah yang berhubungan dengan Data Analyst?
(*Skala 1 - 3. Dengan 1 = E hingga C+, 2 = B- hingga B+, dan 3 = A- hingga A+)</t>
  </si>
  <si>
    <t>Berapa nilai rata-rata mata kuliah yang berhubungan dengan System Analyst?
(*Skala 1 - 3. Dengan 1 = E hingga C+, 2 = B- hingga B+, dan 3 = A- hingga A+)</t>
  </si>
  <si>
    <t>Berapa nilai rata-rata mata kuliah yang berhubungan dengan Application Developer?
(*Skala 1 - 3. Dengan 1 = E hingga C+, 2 = B- hingga B+, dan 3 = A- hingga A+)</t>
  </si>
  <si>
    <t>Berapa nilai rata-rata mata kuliah yang berhubungan dengan IT Auditor &amp; Governance?
(*Skala 1 - 3. Dengan 1 = E hingga C+, 2 = B- hingga B+, dan 3 = A- hingga A+)</t>
  </si>
  <si>
    <t>Apa saja Mata Kuliah Pilihan yang telah anda tempuh?</t>
  </si>
  <si>
    <t>rpp</t>
  </si>
  <si>
    <t>adelia</t>
  </si>
  <si>
    <t>13.2022.1.01099</t>
  </si>
  <si>
    <t>Pemrograman Bergerak, Pemrograman Internet of Things (IoT), Temu Kembali Informasi, Sistem Pendukung Keputusan, Sistem Informasi Intelegensia, Model dan Simulasi Sistem</t>
  </si>
  <si>
    <t>Ya</t>
  </si>
  <si>
    <t>dewi</t>
  </si>
  <si>
    <t>13.2022.1.01088</t>
  </si>
  <si>
    <t>Pemrograman Bergerak, Pemrograman Internet of Things (IoT), Sistem Pendukung Keputusan, Sistem Rekomendasi</t>
  </si>
  <si>
    <t>daniel</t>
  </si>
  <si>
    <t>13.2022.1.01004</t>
  </si>
  <si>
    <t>Pemrograman Internet of Things (IoT), Teknik Peramalan, Sistem Pendukung Keputusan, Sistem Informasi Intelegensia</t>
  </si>
  <si>
    <t>nabila</t>
  </si>
  <si>
    <t>13.2022.1.01068</t>
  </si>
  <si>
    <t>Pemrograman Internet of Things (IoT), Temu Kembali Informasi, Transformasi Digital, Model dan Simulasi Sistem</t>
  </si>
  <si>
    <t>sofia</t>
  </si>
  <si>
    <t>13.2023.1.01043</t>
  </si>
  <si>
    <t>Pemrograman Bergerak, Pemrograman Internet of Things (IoT), Temu Kembali Informasi, Manajemen Layanan SI/TI</t>
  </si>
  <si>
    <t>yanuar</t>
  </si>
  <si>
    <t>13.2022.1.01024</t>
  </si>
  <si>
    <t>Pemrograman Bergerak, Pemrograman Internet of Things (IoT), Pengukuran Kinerja SI/TI, Penambangan Data</t>
  </si>
  <si>
    <t>naffa</t>
  </si>
  <si>
    <t>Kecerdasan Bisnis, Arsitektur Korporasi, Penambangan Data, Sistem Rekomendasi</t>
  </si>
  <si>
    <t>dimas</t>
  </si>
  <si>
    <t>13.2022.1.01044</t>
  </si>
  <si>
    <t>Pemrograman Bergerak, Pengukuran Kinerja SI/TI, Transformasi Digital, Model dan Simulasi Sistem</t>
  </si>
  <si>
    <t>hanif</t>
  </si>
  <si>
    <t>13.2024.1.82006</t>
  </si>
  <si>
    <t>Pemrograman Bergerak, Temu Kembali Informasi, Manajemen Layanan SI/TI, Model dan Simulasi Sistem</t>
  </si>
  <si>
    <t>abraham</t>
  </si>
  <si>
    <t>13.2022.1.01006</t>
  </si>
  <si>
    <t>Pemrograman Bergerak, Pemrograman Internet of Things (IoT), Teknik Peramalan, Model dan Simulasi Sistem</t>
  </si>
  <si>
    <t>andhika</t>
  </si>
  <si>
    <t>13.2022.1.01017</t>
  </si>
  <si>
    <t>Pemrograman Internet of Things (IoT), Pengukuran Kinerja SI/TI, Penambangan Data, Sistem Informasi Intelegensia</t>
  </si>
  <si>
    <t>safira</t>
  </si>
  <si>
    <t>13.2022.1.01011</t>
  </si>
  <si>
    <t>Pemrograman Internet of Things (IoT), Teknik Peramalan, Manajemen Layanan SI/TI, Model dan Simulasi Sistem</t>
  </si>
  <si>
    <t>heny</t>
  </si>
  <si>
    <t>13.2021.1.01088</t>
  </si>
  <si>
    <t>Pemrograman Bergerak, Kecerdasan Bisnis, Transformasi Digital, Model dan Simulasi Sistem</t>
  </si>
  <si>
    <t>yahya</t>
  </si>
  <si>
    <t>13.2021.1.01033</t>
  </si>
  <si>
    <t>Pemrograman Internet of Things (IoT), Penambangan Data, Rantai Blok, Model dan Simulasi Sistem</t>
  </si>
  <si>
    <t>rafifah</t>
  </si>
  <si>
    <t>13.2022.1.01030</t>
  </si>
  <si>
    <t>Pemrograman Internet of Things (IoT), Arsitektur Korporasi, Penambangan Data, Transformasi Digital</t>
  </si>
  <si>
    <t>kilat</t>
  </si>
  <si>
    <t>13.2021.1.01066</t>
  </si>
  <si>
    <t>Pemrograman Bergerak, Kecerdasan Bisnis, Teknik Peramalan, Transformasi Digital</t>
  </si>
  <si>
    <t>ryan</t>
  </si>
  <si>
    <t>13.2022.1.01027</t>
  </si>
  <si>
    <t>Pengukuran Kinerja SI/TI, Kecerdasan Bisnis, Temu Kembali Informasi, Rantai Blok</t>
  </si>
  <si>
    <t>nurul</t>
  </si>
  <si>
    <t>13.2020.1.01011</t>
  </si>
  <si>
    <t>Pemrograman Bergerak, Pemrograman Internet of Things (IoT), Temu Kembali Informasi, Transformasi Digital</t>
  </si>
  <si>
    <t>C6</t>
  </si>
  <si>
    <t>C7</t>
  </si>
  <si>
    <t>Nama Cluster</t>
  </si>
  <si>
    <t>Jumlah anggota</t>
  </si>
  <si>
    <t>Nama anggota</t>
  </si>
  <si>
    <t>Daniel</t>
  </si>
  <si>
    <t>Sofia</t>
  </si>
  <si>
    <t>SSE</t>
  </si>
  <si>
    <t>A-1</t>
  </si>
  <si>
    <t>A-2</t>
  </si>
  <si>
    <t>A-3</t>
  </si>
  <si>
    <t>A-4</t>
  </si>
  <si>
    <t>A-5</t>
  </si>
  <si>
    <t>A-6</t>
  </si>
  <si>
    <t>A-7</t>
  </si>
  <si>
    <t>B-1</t>
  </si>
  <si>
    <t>B-2</t>
  </si>
  <si>
    <t>B-3</t>
  </si>
  <si>
    <t>B-4</t>
  </si>
  <si>
    <t>B-5</t>
  </si>
  <si>
    <t>B-6</t>
  </si>
  <si>
    <t>C-1</t>
  </si>
  <si>
    <t>C-2</t>
  </si>
  <si>
    <t>C-3</t>
  </si>
  <si>
    <t>C-4</t>
  </si>
  <si>
    <t>Ridho</t>
  </si>
  <si>
    <t>13.2022.1.01101</t>
  </si>
  <si>
    <t>Pemrograman Bergerak, Pemrograman IoT, Temu Kembali Informasi, Transformasi Digital</t>
  </si>
  <si>
    <t>Putri</t>
  </si>
  <si>
    <t>13.2022.1.01102</t>
  </si>
  <si>
    <t>Pemrograman Bergerak, Pemrograman IoT, Sistem Pendukung Keputusan, Transformasi Digital</t>
  </si>
  <si>
    <t>Agung</t>
  </si>
  <si>
    <t>13.2022.1.01103</t>
  </si>
  <si>
    <t>Pemrograman Bergerak, Teknik Peramalan, Temu Kembali Informasi, Transformasi Digital</t>
  </si>
  <si>
    <t>Lina</t>
  </si>
  <si>
    <t>13.2021.1.01104</t>
  </si>
  <si>
    <t>Pemrograman Bergerak, UI/UX Design, Model dan Simulasi Sistem, Transformasi Digital</t>
  </si>
  <si>
    <t>Firman</t>
  </si>
  <si>
    <t>13.2020.1.01105</t>
  </si>
  <si>
    <t>Pemrograman Bergerak, Penambangan Data, Sistem Pendukung Keputusan, Transformasi Digital</t>
  </si>
  <si>
    <t>putri</t>
  </si>
  <si>
    <t>firman</t>
  </si>
  <si>
    <t>lina</t>
  </si>
  <si>
    <t>ridho</t>
  </si>
  <si>
    <t>RPL</t>
  </si>
  <si>
    <t>TOPIK</t>
  </si>
  <si>
    <t>Manajemen TI</t>
  </si>
  <si>
    <t>SPK,Peramalan</t>
  </si>
  <si>
    <t>RPL,Data mining,IMK</t>
  </si>
  <si>
    <t>Data mining,SPK,Peramalan</t>
  </si>
  <si>
    <t>Jaringan,RPL,SPK,Peramalan,Data mining</t>
  </si>
  <si>
    <t>IMK,SPK,Peramalan,Data mining</t>
  </si>
  <si>
    <t>Index</t>
  </si>
  <si>
    <t>No</t>
  </si>
  <si>
    <t>Kemampuan Berhitung</t>
  </si>
  <si>
    <t>Hasil Belajar</t>
  </si>
  <si>
    <t>CENTEROID</t>
  </si>
  <si>
    <t>adrian</t>
  </si>
  <si>
    <t>13.2022.1.01093</t>
  </si>
  <si>
    <t>Pemrograman Bergerak, Pemrograman Internet of Things (IoT), Transformasi Digital, Sistem Informasi Intelegensia</t>
  </si>
  <si>
    <t>sahara</t>
  </si>
  <si>
    <t>13.2024.1.01021</t>
  </si>
  <si>
    <t>Pemrograman Bergerak, Pemrograman Internet of Things (IoT), Penambangan Data, Rantai Blok</t>
  </si>
  <si>
    <t>Pemrograman Bergerak, Pemrograman Internet of Things (IoT), Sistem Pendukung Keputusan, Transformasi Digital</t>
  </si>
  <si>
    <t>agung</t>
  </si>
  <si>
    <t>Pemrograman Bergerak, Penambangan Data, Transformasi Digital, Model dan Simulasi Sistem</t>
  </si>
  <si>
    <t>Pemrograman Bergerak, Sistem Pendukung Keputusan, Penambangan Data, Transformasi Digital</t>
  </si>
  <si>
    <t>ITERASI 1</t>
  </si>
  <si>
    <t>ITERASI 2</t>
  </si>
  <si>
    <t xml:space="preserve">agung </t>
  </si>
  <si>
    <t>ITERASI 3</t>
  </si>
  <si>
    <t>Berapa nilai rata-rata mata kuliah yang berhubungan dengan IT Auditor &amp; Governance?</t>
  </si>
  <si>
    <t>Berapa nilai rata-rata mata kuliah yang berhubungan dengan Application Developer?</t>
  </si>
  <si>
    <t>Berapa nilai rata-rata mata kuliah yang berhubungan dengan System Analyst?</t>
  </si>
  <si>
    <t>Berapa nilai rata-rata mata kuliah yang berhubungan dengan Data Analyst?</t>
  </si>
  <si>
    <t>Nama cluster</t>
  </si>
  <si>
    <t>Skala Peminatan</t>
  </si>
  <si>
    <t>Keterangan</t>
  </si>
  <si>
    <t>Kurang Minat</t>
  </si>
  <si>
    <t>Cukup Minat</t>
  </si>
  <si>
    <t>Sangat Minat</t>
  </si>
  <si>
    <t>PEMINATAN</t>
  </si>
  <si>
    <t>Skala Keterampilan</t>
  </si>
  <si>
    <t>Lemah</t>
  </si>
  <si>
    <t>Cukup Baik</t>
  </si>
  <si>
    <t>Sangat Baik</t>
  </si>
  <si>
    <t>KETERAMPILAN</t>
  </si>
  <si>
    <t>Skala Rata-Rata Nilai</t>
  </si>
  <si>
    <t>E hingga C+</t>
  </si>
  <si>
    <t>B- hingga B+</t>
  </si>
  <si>
    <t>A- Hingga A+</t>
  </si>
  <si>
    <t>NILAI</t>
  </si>
  <si>
    <t>rpl,data mining,spk,peramalan</t>
  </si>
  <si>
    <t>data mining,spk,peramalan,Manajemen TI</t>
  </si>
  <si>
    <t>rpl,data mining, spk,peramalan,IMK,</t>
  </si>
  <si>
    <t>manajemen TI,IMK,SPK.peramalan,RPL</t>
  </si>
  <si>
    <t>data mining,spk,peramalan,RPL</t>
  </si>
  <si>
    <t>rpl,spk,peramalan,data mining,jaringan,imk</t>
  </si>
  <si>
    <t>Minat Pemrograman (Mobile, Web, Bisnis Digital,UI/UX,database)</t>
  </si>
  <si>
    <t>Minat anaisis Data (Mining, AI, Machine Learning,SPK,Peramalan)</t>
  </si>
  <si>
    <t>Nilai Jaringan</t>
  </si>
  <si>
    <t>Skill Pemrograman (Web, java, python, backend,database,ui/ux)</t>
  </si>
  <si>
    <r>
      <t xml:space="preserve">2. Mata kuliah yang berhubungan dengan System Analyst </t>
    </r>
    <r>
      <rPr>
        <b/>
        <sz val="11"/>
        <color rgb="FFFF0000"/>
        <rFont val="Calibri"/>
        <family val="2"/>
        <scheme val="minor"/>
      </rPr>
      <t>(Manajemen Proses Bisnis, Rekayasan Perangkat Lunak, Sistem Informasi Korporasi</t>
    </r>
    <r>
      <rPr>
        <b/>
        <sz val="11"/>
        <color theme="1"/>
        <rFont val="Calibri"/>
        <family val="2"/>
        <scheme val="minor"/>
      </rPr>
      <t>, Analisis &amp; Perancangan SI, Manajemen Kualitas P/L, Arsitektur Korporasi, Transformasi Digital)</t>
    </r>
  </si>
  <si>
    <t>arhan</t>
  </si>
  <si>
    <t>april</t>
  </si>
  <si>
    <t>lisa</t>
  </si>
  <si>
    <t>rama</t>
  </si>
  <si>
    <t>putra</t>
  </si>
  <si>
    <t>dafinna</t>
  </si>
  <si>
    <t>fira</t>
  </si>
  <si>
    <t>rangga</t>
  </si>
  <si>
    <t>abdul</t>
  </si>
  <si>
    <t>fadhil</t>
  </si>
  <si>
    <t>rani</t>
  </si>
  <si>
    <t>lany</t>
  </si>
  <si>
    <t>sawitri</t>
  </si>
  <si>
    <t>cindy</t>
  </si>
  <si>
    <t>reyner</t>
  </si>
  <si>
    <t>yuli</t>
  </si>
  <si>
    <t>aditya</t>
  </si>
  <si>
    <t>vivi</t>
  </si>
  <si>
    <t>adisti</t>
  </si>
  <si>
    <t>gagang</t>
  </si>
  <si>
    <t>yusuf</t>
  </si>
  <si>
    <t>rere</t>
  </si>
  <si>
    <t>niko</t>
  </si>
  <si>
    <t>aziz</t>
  </si>
  <si>
    <t>vanda</t>
  </si>
  <si>
    <t>fidela</t>
  </si>
  <si>
    <t>alfi</t>
  </si>
  <si>
    <t>nanda</t>
  </si>
  <si>
    <t>dian</t>
  </si>
  <si>
    <t>afifah</t>
  </si>
  <si>
    <t>siti</t>
  </si>
  <si>
    <t>helmy</t>
  </si>
  <si>
    <t>reny</t>
  </si>
  <si>
    <t>yana</t>
  </si>
  <si>
    <t>desy</t>
  </si>
  <si>
    <t>arto</t>
  </si>
  <si>
    <t>musa</t>
  </si>
  <si>
    <t>carmen</t>
  </si>
  <si>
    <t>galang</t>
  </si>
  <si>
    <t>dasyefa</t>
  </si>
  <si>
    <t>bryan</t>
  </si>
  <si>
    <t>bimo</t>
  </si>
  <si>
    <t>aprilia</t>
  </si>
  <si>
    <t>salman</t>
  </si>
  <si>
    <t>nama anggota</t>
  </si>
  <si>
    <t>Jumlah</t>
  </si>
  <si>
    <t>Total</t>
  </si>
  <si>
    <t>C1 
(Application 
Developer)</t>
  </si>
  <si>
    <t>C2 
Data 
Analyst</t>
  </si>
  <si>
    <t>C3 
System 
Analyst</t>
  </si>
  <si>
    <t>C4 
IT Auditor &amp; 
Governance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</si>
</sst>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yyyy\-mm\-dd\ hh:mm:ss"/>
    <numFmt numFmtId="166" formatCode="0.000"/>
  </numFmts>
  <fonts count="9" x14ac:knownFonts="1">
    <font>
      <sz val="11"/>
      <color theme="1"/>
      <name val="Calibri"/>
      <family val="2"/>
      <scheme val="minor"/>
    </font>
    <font>
      <b/>
      <sz val="11"/>
      <color theme="1"/>
      <name val="Calibri"/>
      <family val="2"/>
      <scheme val="minor"/>
    </font>
    <font>
      <b/>
      <sz val="11"/>
      <color theme="1"/>
      <name val="Calibri"/>
      <family val="2"/>
      <charset val="1"/>
      <scheme val="minor"/>
    </font>
    <font>
      <b/>
      <sz val="11"/>
      <name val="Calibri"/>
    </font>
    <font>
      <b/>
      <sz val="11"/>
      <name val="Calibri"/>
      <family val="2"/>
    </font>
    <font>
      <sz val="12"/>
      <color theme="1"/>
      <name val="Times New Roman"/>
      <family val="1"/>
    </font>
    <font>
      <sz val="11"/>
      <name val="Calibri"/>
      <family val="2"/>
    </font>
    <font>
      <b/>
      <sz val="11"/>
      <color rgb="FFFF0000"/>
      <name val="Calibri"/>
      <family val="2"/>
      <scheme val="minor"/>
    </font>
    <font>
      <sz val="11"/>
      <color rgb="FFFF000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bgColor indexed="64"/>
      </patternFill>
    </fill>
    <fill>
      <patternFill patternType="solid">
        <fgColor rgb="FF00B0F0"/>
        <bgColor indexed="64"/>
      </patternFill>
    </fill>
    <fill>
      <patternFill patternType="solid">
        <fgColor rgb="FFFF0000"/>
        <bgColor indexed="64"/>
      </patternFill>
    </fill>
    <fill>
      <patternFill patternType="solid">
        <fgColor theme="4" tint="0.59999389629810485"/>
        <bgColor indexed="64"/>
      </patternFill>
    </fill>
    <fill>
      <patternFill patternType="solid">
        <fgColor theme="4"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thin">
        <color auto="1"/>
      </top>
      <bottom/>
      <diagonal/>
    </border>
    <border>
      <left style="thin">
        <color auto="1"/>
      </left>
      <right/>
      <top/>
      <bottom/>
      <diagonal/>
    </border>
  </borders>
  <cellStyleXfs count="1">
    <xf numFmtId="0" fontId="0" fillId="0" borderId="0"/>
  </cellStyleXfs>
  <cellXfs count="114">
    <xf numFmtId="0" fontId="0" fillId="0" borderId="0" xfId="0"/>
    <xf numFmtId="0" fontId="1" fillId="0" borderId="1" xfId="0" applyFont="1" applyBorder="1" applyAlignment="1">
      <alignment horizontal="center" vertical="top"/>
    </xf>
    <xf numFmtId="0" fontId="1" fillId="0" borderId="1" xfId="0" applyFont="1" applyBorder="1"/>
    <xf numFmtId="0" fontId="1" fillId="0" borderId="1" xfId="0" applyFont="1" applyBorder="1" applyAlignment="1">
      <alignment horizontal="center"/>
    </xf>
    <xf numFmtId="0" fontId="0" fillId="0" borderId="1" xfId="0" applyBorder="1" applyAlignment="1">
      <alignment horizontal="center"/>
    </xf>
    <xf numFmtId="0" fontId="1" fillId="0" borderId="0" xfId="0" applyFont="1"/>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0" fillId="3" borderId="1" xfId="0" applyFill="1" applyBorder="1" applyAlignment="1">
      <alignment horizontal="center"/>
    </xf>
    <xf numFmtId="0" fontId="1" fillId="4" borderId="1" xfId="0" applyFont="1" applyFill="1" applyBorder="1" applyAlignment="1">
      <alignment horizontal="center" vertical="top"/>
    </xf>
    <xf numFmtId="0" fontId="1" fillId="5" borderId="1" xfId="0" applyFont="1" applyFill="1" applyBorder="1" applyAlignment="1">
      <alignment horizontal="center" vertical="top"/>
    </xf>
    <xf numFmtId="0" fontId="1" fillId="6" borderId="1" xfId="0" applyFont="1" applyFill="1" applyBorder="1" applyAlignment="1">
      <alignment horizontal="center" vertical="top"/>
    </xf>
    <xf numFmtId="0" fontId="1" fillId="3" borderId="14" xfId="0" applyFont="1" applyFill="1" applyBorder="1" applyAlignment="1">
      <alignment horizontal="center" vertical="top"/>
    </xf>
    <xf numFmtId="0" fontId="0" fillId="3" borderId="14" xfId="0" applyFill="1" applyBorder="1" applyAlignment="1">
      <alignment horizontal="center"/>
    </xf>
    <xf numFmtId="0" fontId="0" fillId="0" borderId="1" xfId="0" applyBorder="1"/>
    <xf numFmtId="0" fontId="0" fillId="0" borderId="5" xfId="0" applyBorder="1" applyAlignment="1">
      <alignment horizontal="center"/>
    </xf>
    <xf numFmtId="0" fontId="0" fillId="0" borderId="1" xfId="0"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164" fontId="0" fillId="0" borderId="0" xfId="0" applyNumberFormat="1" applyAlignment="1">
      <alignment vertical="center" wrapText="1"/>
    </xf>
    <xf numFmtId="0" fontId="0" fillId="0" borderId="5" xfId="0" applyBorder="1"/>
    <xf numFmtId="0" fontId="1" fillId="0" borderId="1" xfId="0" applyFont="1" applyBorder="1" applyAlignment="1">
      <alignment horizontal="center" vertical="center" wrapText="1"/>
    </xf>
    <xf numFmtId="164" fontId="0" fillId="0" borderId="1" xfId="0" applyNumberFormat="1" applyBorder="1"/>
    <xf numFmtId="1" fontId="0" fillId="0" borderId="1" xfId="0" applyNumberFormat="1" applyBorder="1"/>
    <xf numFmtId="0" fontId="0" fillId="0" borderId="5" xfId="0" applyBorder="1" applyAlignment="1">
      <alignment horizontal="center" vertical="center" wrapText="1"/>
    </xf>
    <xf numFmtId="0" fontId="0" fillId="3" borderId="5" xfId="0" applyFill="1" applyBorder="1" applyAlignment="1">
      <alignment horizontal="center"/>
    </xf>
    <xf numFmtId="164" fontId="0" fillId="0" borderId="5" xfId="0" applyNumberFormat="1" applyBorder="1"/>
    <xf numFmtId="164" fontId="0" fillId="0" borderId="1" xfId="0" applyNumberFormat="1" applyBorder="1" applyAlignment="1">
      <alignment horizontal="center"/>
    </xf>
    <xf numFmtId="164" fontId="0" fillId="0" borderId="5" xfId="0" applyNumberFormat="1" applyBorder="1" applyAlignment="1">
      <alignment horizontal="center"/>
    </xf>
    <xf numFmtId="0" fontId="0" fillId="0" borderId="0" xfId="0" applyAlignment="1">
      <alignment horizontal="center"/>
    </xf>
    <xf numFmtId="0" fontId="1" fillId="0" borderId="0" xfId="0" applyFont="1" applyAlignment="1">
      <alignment horizontal="center"/>
    </xf>
    <xf numFmtId="0" fontId="0" fillId="0" borderId="1" xfId="0" applyBorder="1" applyAlignment="1">
      <alignment vertical="center" wrapText="1"/>
    </xf>
    <xf numFmtId="0" fontId="1" fillId="2" borderId="1" xfId="0" applyFont="1" applyFill="1" applyBorder="1" applyAlignment="1">
      <alignment horizontal="center" vertical="center" wrapText="1"/>
    </xf>
    <xf numFmtId="0" fontId="0" fillId="0" borderId="0" xfId="0" applyAlignment="1">
      <alignment vertical="center"/>
    </xf>
    <xf numFmtId="0" fontId="0" fillId="0" borderId="3" xfId="0" applyBorder="1" applyAlignment="1">
      <alignment horizontal="center"/>
    </xf>
    <xf numFmtId="0" fontId="0" fillId="0" borderId="14" xfId="0" applyBorder="1" applyAlignment="1">
      <alignment horizontal="center"/>
    </xf>
    <xf numFmtId="0" fontId="1" fillId="2" borderId="1" xfId="0" applyFont="1" applyFill="1" applyBorder="1" applyAlignment="1">
      <alignment horizontal="center" vertical="center"/>
    </xf>
    <xf numFmtId="0" fontId="0" fillId="0" borderId="3" xfId="0" applyBorder="1"/>
    <xf numFmtId="164" fontId="0" fillId="0" borderId="1" xfId="0" applyNumberFormat="1" applyBorder="1" applyAlignment="1">
      <alignment horizontal="left" indent="1"/>
    </xf>
    <xf numFmtId="0" fontId="0" fillId="7" borderId="1" xfId="0" applyFill="1" applyBorder="1"/>
    <xf numFmtId="0" fontId="0" fillId="0" borderId="1" xfId="0" applyBorder="1" applyAlignment="1">
      <alignment horizontal="center" vertical="center"/>
    </xf>
    <xf numFmtId="0" fontId="0" fillId="7" borderId="1" xfId="0" applyFill="1" applyBorder="1" applyAlignment="1">
      <alignment horizontal="center" vertical="center"/>
    </xf>
    <xf numFmtId="0" fontId="0" fillId="2" borderId="1" xfId="0" applyFill="1" applyBorder="1" applyAlignment="1">
      <alignment horizontal="center"/>
    </xf>
    <xf numFmtId="165" fontId="0" fillId="0" borderId="1" xfId="0" applyNumberFormat="1" applyBorder="1"/>
    <xf numFmtId="0" fontId="3" fillId="2" borderId="1" xfId="0" applyFont="1" applyFill="1" applyBorder="1" applyAlignment="1">
      <alignment horizontal="center" vertical="top"/>
    </xf>
    <xf numFmtId="0" fontId="4" fillId="2" borderId="1" xfId="0" applyFont="1" applyFill="1" applyBorder="1" applyAlignment="1">
      <alignment horizontal="center" vertical="top"/>
    </xf>
    <xf numFmtId="0" fontId="5" fillId="2" borderId="17" xfId="0" applyFont="1" applyFill="1" applyBorder="1" applyAlignment="1">
      <alignment horizontal="center" vertical="center" wrapText="1"/>
    </xf>
    <xf numFmtId="0" fontId="5" fillId="2" borderId="18" xfId="0" applyFont="1" applyFill="1" applyBorder="1" applyAlignment="1">
      <alignment horizontal="center" vertical="center" wrapText="1"/>
    </xf>
    <xf numFmtId="2" fontId="0" fillId="0" borderId="1" xfId="0" applyNumberFormat="1" applyBorder="1" applyAlignment="1">
      <alignment horizontal="center"/>
    </xf>
    <xf numFmtId="22" fontId="0" fillId="0" borderId="1" xfId="0" applyNumberFormat="1" applyBorder="1" applyAlignment="1">
      <alignment vertical="center"/>
    </xf>
    <xf numFmtId="0" fontId="0" fillId="0" borderId="1" xfId="0" applyBorder="1" applyAlignment="1">
      <alignment vertical="center"/>
    </xf>
    <xf numFmtId="0" fontId="0" fillId="0" borderId="5" xfId="0" applyBorder="1" applyAlignment="1">
      <alignment horizontal="center" vertical="center"/>
    </xf>
    <xf numFmtId="0" fontId="0" fillId="0" borderId="16" xfId="0" applyBorder="1" applyAlignment="1">
      <alignment horizontal="center" vertical="center"/>
    </xf>
    <xf numFmtId="0" fontId="0" fillId="0" borderId="2" xfId="0" applyBorder="1" applyAlignment="1">
      <alignment horizontal="center" vertical="center"/>
    </xf>
    <xf numFmtId="20" fontId="0" fillId="0" borderId="1" xfId="0" applyNumberFormat="1" applyBorder="1" applyAlignment="1">
      <alignment horizontal="center" vertical="center" wrapText="1"/>
    </xf>
    <xf numFmtId="0" fontId="1" fillId="0" borderId="16" xfId="0" applyFont="1" applyBorder="1" applyAlignment="1">
      <alignment horizontal="center" vertical="center" wrapText="1"/>
    </xf>
    <xf numFmtId="0" fontId="3" fillId="0" borderId="1" xfId="0" applyFont="1" applyBorder="1" applyAlignment="1">
      <alignment horizontal="center" vertical="top"/>
    </xf>
    <xf numFmtId="0" fontId="3" fillId="0" borderId="0" xfId="0" applyFont="1" applyAlignment="1">
      <alignment horizontal="center" vertical="top"/>
    </xf>
    <xf numFmtId="0" fontId="6" fillId="2" borderId="1" xfId="0" applyFont="1" applyFill="1" applyBorder="1" applyAlignment="1">
      <alignment horizontal="center" vertical="top"/>
    </xf>
    <xf numFmtId="0" fontId="5" fillId="0" borderId="1" xfId="0" applyFont="1" applyBorder="1" applyAlignment="1">
      <alignment horizontal="center" vertical="center"/>
    </xf>
    <xf numFmtId="0" fontId="0" fillId="2" borderId="1" xfId="0" applyFill="1" applyBorder="1"/>
    <xf numFmtId="0" fontId="1" fillId="0" borderId="0" xfId="0" applyFont="1" applyAlignment="1">
      <alignment horizontal="center" vertical="top"/>
    </xf>
    <xf numFmtId="0" fontId="1" fillId="3" borderId="3" xfId="0" applyFont="1" applyFill="1" applyBorder="1" applyAlignment="1">
      <alignment horizontal="center" vertical="top"/>
    </xf>
    <xf numFmtId="0" fontId="0" fillId="3" borderId="3" xfId="0" applyFill="1" applyBorder="1" applyAlignment="1">
      <alignment horizontal="center"/>
    </xf>
    <xf numFmtId="0" fontId="7" fillId="0" borderId="0" xfId="0" applyFont="1" applyAlignment="1">
      <alignment horizontal="center" vertical="top"/>
    </xf>
    <xf numFmtId="0" fontId="8" fillId="0" borderId="0" xfId="0" applyFont="1" applyAlignment="1">
      <alignment horizontal="center"/>
    </xf>
    <xf numFmtId="0" fontId="5" fillId="0" borderId="0" xfId="0" applyFont="1" applyAlignment="1">
      <alignment horizontal="center" vertical="center" wrapText="1"/>
    </xf>
    <xf numFmtId="164" fontId="0" fillId="0" borderId="0" xfId="0" applyNumberFormat="1" applyAlignment="1">
      <alignment horizontal="center"/>
    </xf>
    <xf numFmtId="166" fontId="0" fillId="0" borderId="1" xfId="0" applyNumberFormat="1" applyBorder="1" applyAlignment="1">
      <alignment horizontal="center"/>
    </xf>
    <xf numFmtId="0" fontId="0" fillId="8" borderId="1" xfId="0" applyFill="1"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vertical="center"/>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9" xfId="0" applyFont="1" applyBorder="1" applyAlignment="1">
      <alignment horizontal="left" vertical="top" wrapText="1"/>
    </xf>
    <xf numFmtId="0" fontId="1" fillId="0" borderId="0" xfId="0" applyFont="1" applyAlignment="1">
      <alignment horizontal="left" vertical="top" wrapText="1"/>
    </xf>
    <xf numFmtId="0" fontId="1" fillId="0" borderId="10" xfId="0" applyFont="1" applyBorder="1" applyAlignment="1">
      <alignment horizontal="left" vertical="top" wrapText="1"/>
    </xf>
    <xf numFmtId="0" fontId="1" fillId="0" borderId="11" xfId="0" applyFont="1" applyBorder="1" applyAlignment="1">
      <alignment horizontal="left" vertical="top" wrapText="1"/>
    </xf>
    <xf numFmtId="0" fontId="1" fillId="0" borderId="12" xfId="0" applyFont="1" applyBorder="1" applyAlignment="1">
      <alignment horizontal="left" vertical="top" wrapText="1"/>
    </xf>
    <xf numFmtId="0" fontId="1" fillId="0" borderId="13" xfId="0" applyFont="1" applyBorder="1" applyAlignment="1">
      <alignment horizontal="left" vertical="top" wrapText="1"/>
    </xf>
    <xf numFmtId="0" fontId="1" fillId="0" borderId="5" xfId="0" applyFont="1" applyBorder="1" applyAlignment="1">
      <alignment horizontal="center" vertical="center"/>
    </xf>
    <xf numFmtId="0" fontId="1" fillId="0" borderId="2" xfId="0" applyFont="1" applyBorder="1" applyAlignment="1">
      <alignment horizontal="center" vertical="center"/>
    </xf>
    <xf numFmtId="0" fontId="1" fillId="0" borderId="1" xfId="0" applyFont="1" applyBorder="1" applyAlignment="1">
      <alignment horizontal="center" vertical="center"/>
    </xf>
    <xf numFmtId="0" fontId="1" fillId="3" borderId="3" xfId="0" applyFont="1" applyFill="1" applyBorder="1" applyAlignment="1">
      <alignment horizontal="center" vertical="center"/>
    </xf>
    <xf numFmtId="0" fontId="0" fillId="3" borderId="4" xfId="0" applyFill="1" applyBorder="1" applyAlignment="1">
      <alignment horizontal="center" vertical="center"/>
    </xf>
    <xf numFmtId="0" fontId="1" fillId="3" borderId="3" xfId="0" applyFont="1" applyFill="1" applyBorder="1" applyAlignment="1">
      <alignment horizontal="center"/>
    </xf>
    <xf numFmtId="0" fontId="0" fillId="3" borderId="4" xfId="0" applyFill="1" applyBorder="1" applyAlignment="1">
      <alignment horizontal="center"/>
    </xf>
    <xf numFmtId="0" fontId="1" fillId="0" borderId="3" xfId="0" applyFont="1" applyBorder="1" applyAlignment="1">
      <alignment horizontal="center"/>
    </xf>
    <xf numFmtId="0" fontId="0" fillId="0" borderId="4" xfId="0" applyBorder="1" applyAlignment="1">
      <alignment horizontal="center"/>
    </xf>
    <xf numFmtId="0" fontId="1" fillId="0" borderId="0" xfId="0" applyFont="1" applyAlignment="1">
      <alignment horizontal="center" vertical="center"/>
    </xf>
    <xf numFmtId="0" fontId="1" fillId="3" borderId="4" xfId="0" applyFont="1" applyFill="1" applyBorder="1" applyAlignment="1">
      <alignment horizontal="center" vertical="center"/>
    </xf>
    <xf numFmtId="0" fontId="1" fillId="3" borderId="4" xfId="0" applyFont="1" applyFill="1" applyBorder="1" applyAlignment="1">
      <alignment horizontal="center"/>
    </xf>
    <xf numFmtId="0" fontId="0" fillId="3" borderId="1" xfId="0" applyFill="1" applyBorder="1" applyAlignment="1">
      <alignment horizontal="center"/>
    </xf>
    <xf numFmtId="0" fontId="0" fillId="3" borderId="19" xfId="0" applyFill="1" applyBorder="1" applyAlignment="1">
      <alignment horizontal="center"/>
    </xf>
    <xf numFmtId="0" fontId="0" fillId="0" borderId="0" xfId="0" applyAlignment="1">
      <alignment horizontal="center"/>
    </xf>
    <xf numFmtId="0" fontId="0" fillId="7" borderId="1" xfId="0" applyFill="1" applyBorder="1" applyAlignment="1">
      <alignment horizontal="center"/>
    </xf>
    <xf numFmtId="0" fontId="0" fillId="0" borderId="3" xfId="0" applyBorder="1" applyAlignment="1">
      <alignment horizontal="center"/>
    </xf>
    <xf numFmtId="0" fontId="0" fillId="0" borderId="14" xfId="0" applyBorder="1" applyAlignment="1">
      <alignment horizontal="center"/>
    </xf>
    <xf numFmtId="0" fontId="0" fillId="0" borderId="1" xfId="0" applyBorder="1" applyAlignment="1">
      <alignment horizontal="center"/>
    </xf>
    <xf numFmtId="0" fontId="0" fillId="7" borderId="1" xfId="0" applyFill="1" applyBorder="1" applyAlignment="1">
      <alignment horizontal="center" vertical="center"/>
    </xf>
    <xf numFmtId="0" fontId="0" fillId="0" borderId="15" xfId="0" applyBorder="1" applyAlignment="1">
      <alignment horizontal="center"/>
    </xf>
    <xf numFmtId="0" fontId="0" fillId="0" borderId="5" xfId="0" applyBorder="1" applyAlignment="1">
      <alignment horizontal="center" vertical="center"/>
    </xf>
    <xf numFmtId="0" fontId="0" fillId="0" borderId="16" xfId="0" applyBorder="1" applyAlignment="1">
      <alignment horizontal="center" vertical="center"/>
    </xf>
    <xf numFmtId="0" fontId="0" fillId="0" borderId="2" xfId="0" applyBorder="1" applyAlignment="1">
      <alignment horizontal="center" vertical="center"/>
    </xf>
    <xf numFmtId="0" fontId="0" fillId="0" borderId="1" xfId="0" applyBorder="1"/>
    <xf numFmtId="0" fontId="0" fillId="0" borderId="20" xfId="0" applyBorder="1" applyAlignment="1">
      <alignment horizontal="center" vertical="center"/>
    </xf>
    <xf numFmtId="0" fontId="0" fillId="0" borderId="0" xfId="0" applyBorder="1"/>
    <xf numFmtId="0" fontId="0" fillId="0" borderId="0" xfId="0" applyFill="1" applyBorder="1" applyAlignment="1">
      <alignment horizontal="center" vertical="center"/>
    </xf>
    <xf numFmtId="0" fontId="0" fillId="0" borderId="0" xfId="0" applyFill="1" applyBorder="1"/>
    <xf numFmtId="0" fontId="0" fillId="8" borderId="3" xfId="0" applyFill="1" applyBorder="1" applyAlignment="1">
      <alignment horizontal="center"/>
    </xf>
    <xf numFmtId="0" fontId="0" fillId="8" borderId="4" xfId="0" applyFill="1" applyBorder="1" applyAlignment="1">
      <alignment horizontal="center"/>
    </xf>
    <xf numFmtId="0" fontId="0" fillId="0" borderId="0" xfId="0" applyFill="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Cluster Data</c:v>
          </c:tx>
          <c:spPr>
            <a:ln w="25400" cap="rnd">
              <a:noFill/>
              <a:round/>
            </a:ln>
            <a:effectLst/>
          </c:spPr>
          <c:marker>
            <c:symbol val="circle"/>
            <c:size val="5"/>
            <c:spPr>
              <a:solidFill>
                <a:schemeClr val="accent1"/>
              </a:solidFill>
              <a:ln w="9525">
                <a:solidFill>
                  <a:schemeClr val="accent1"/>
                </a:solidFill>
              </a:ln>
              <a:effectLst/>
            </c:spPr>
          </c:marker>
          <c:xVal>
            <c:numRef>
              <c:f>'kmean update'!$A$62:$A$84</c:f>
              <c:numCache>
                <c:formatCode>General</c:formatCode>
                <c:ptCount val="2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numCache>
            </c:numRef>
          </c:xVal>
          <c:yVal>
            <c:numRef>
              <c:f>'kmean update'!$J$62:$J$84</c:f>
              <c:numCache>
                <c:formatCode>General</c:formatCode>
                <c:ptCount val="23"/>
                <c:pt idx="0">
                  <c:v>0</c:v>
                </c:pt>
                <c:pt idx="1">
                  <c:v>0</c:v>
                </c:pt>
                <c:pt idx="2">
                  <c:v>0</c:v>
                </c:pt>
                <c:pt idx="3">
                  <c:v>0</c:v>
                </c:pt>
                <c:pt idx="4">
                  <c:v>0</c:v>
                </c:pt>
                <c:pt idx="5">
                  <c:v>0</c:v>
                </c:pt>
                <c:pt idx="6">
                  <c:v>0</c:v>
                </c:pt>
                <c:pt idx="7">
                  <c:v>1.7320508075688772</c:v>
                </c:pt>
                <c:pt idx="8">
                  <c:v>2.2360679774997898</c:v>
                </c:pt>
                <c:pt idx="9">
                  <c:v>1.7320508075688772</c:v>
                </c:pt>
                <c:pt idx="10">
                  <c:v>1</c:v>
                </c:pt>
                <c:pt idx="11">
                  <c:v>1</c:v>
                </c:pt>
                <c:pt idx="12">
                  <c:v>1.4142135623730951</c:v>
                </c:pt>
                <c:pt idx="13">
                  <c:v>2.2360679774997898</c:v>
                </c:pt>
                <c:pt idx="14">
                  <c:v>2.2360679774997898</c:v>
                </c:pt>
                <c:pt idx="15">
                  <c:v>2</c:v>
                </c:pt>
                <c:pt idx="16">
                  <c:v>1</c:v>
                </c:pt>
                <c:pt idx="17">
                  <c:v>1.4142135623730951</c:v>
                </c:pt>
                <c:pt idx="18">
                  <c:v>2.8284271247461903</c:v>
                </c:pt>
                <c:pt idx="19">
                  <c:v>2.2360679774997898</c:v>
                </c:pt>
                <c:pt idx="20">
                  <c:v>3</c:v>
                </c:pt>
                <c:pt idx="21">
                  <c:v>2.6457513110645907</c:v>
                </c:pt>
                <c:pt idx="22">
                  <c:v>1</c:v>
                </c:pt>
              </c:numCache>
            </c:numRef>
          </c:yVal>
          <c:smooth val="0"/>
          <c:extLst>
            <c:ext xmlns:c16="http://schemas.microsoft.com/office/drawing/2014/chart" uri="{C3380CC4-5D6E-409C-BE32-E72D297353CC}">
              <c16:uniqueId val="{00000001-CD5D-41AC-A151-F7343C983980}"/>
            </c:ext>
          </c:extLst>
        </c:ser>
        <c:dLbls>
          <c:showLegendKey val="0"/>
          <c:showVal val="0"/>
          <c:showCatName val="0"/>
          <c:showSerName val="0"/>
          <c:showPercent val="0"/>
          <c:showBubbleSize val="0"/>
        </c:dLbls>
        <c:axId val="66771856"/>
        <c:axId val="57433648"/>
      </c:scatterChart>
      <c:valAx>
        <c:axId val="66771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33648"/>
        <c:crosses val="autoZero"/>
        <c:crossBetween val="midCat"/>
      </c:valAx>
      <c:valAx>
        <c:axId val="57433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718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Iterasi 2</c:v>
          </c:tx>
          <c:spPr>
            <a:ln w="25400" cap="rnd">
              <a:noFill/>
              <a:round/>
            </a:ln>
            <a:effectLst/>
          </c:spPr>
          <c:marker>
            <c:symbol val="circle"/>
            <c:size val="5"/>
            <c:spPr>
              <a:solidFill>
                <a:schemeClr val="accent1"/>
              </a:solidFill>
              <a:ln w="9525">
                <a:solidFill>
                  <a:schemeClr val="accent1"/>
                </a:solidFill>
              </a:ln>
              <a:effectLst/>
            </c:spPr>
          </c:marker>
          <c:xVal>
            <c:numRef>
              <c:f>'kmean update'!$A$98:$A$120</c:f>
              <c:numCache>
                <c:formatCode>General</c:formatCode>
                <c:ptCount val="2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numCache>
            </c:numRef>
          </c:xVal>
          <c:yVal>
            <c:numRef>
              <c:f>'kmean update'!$J$98:$J$120</c:f>
              <c:numCache>
                <c:formatCode>General</c:formatCode>
                <c:ptCount val="23"/>
                <c:pt idx="0">
                  <c:v>1.1313708498984758</c:v>
                </c:pt>
                <c:pt idx="1">
                  <c:v>0.5</c:v>
                </c:pt>
                <c:pt idx="2">
                  <c:v>1.0897247358851685</c:v>
                </c:pt>
                <c:pt idx="3">
                  <c:v>0.70710678118654757</c:v>
                </c:pt>
                <c:pt idx="4">
                  <c:v>0</c:v>
                </c:pt>
                <c:pt idx="5">
                  <c:v>1.2018504251546633</c:v>
                </c:pt>
                <c:pt idx="6">
                  <c:v>0</c:v>
                </c:pt>
                <c:pt idx="7">
                  <c:v>1.6393596310755001</c:v>
                </c:pt>
                <c:pt idx="8">
                  <c:v>1.6393596310755001</c:v>
                </c:pt>
                <c:pt idx="9">
                  <c:v>1.2165525060596438</c:v>
                </c:pt>
                <c:pt idx="10">
                  <c:v>1</c:v>
                </c:pt>
                <c:pt idx="11">
                  <c:v>0.70710678118654757</c:v>
                </c:pt>
                <c:pt idx="12">
                  <c:v>0.66666666666666674</c:v>
                </c:pt>
                <c:pt idx="13">
                  <c:v>2.1858128414340001</c:v>
                </c:pt>
                <c:pt idx="14">
                  <c:v>1.3711309200802089</c:v>
                </c:pt>
                <c:pt idx="15">
                  <c:v>1.4142135623730951</c:v>
                </c:pt>
                <c:pt idx="16">
                  <c:v>0.82462112512353203</c:v>
                </c:pt>
                <c:pt idx="17">
                  <c:v>0.66666666666666674</c:v>
                </c:pt>
                <c:pt idx="18">
                  <c:v>2.1858128414340001</c:v>
                </c:pt>
                <c:pt idx="19">
                  <c:v>1.5099668870541501</c:v>
                </c:pt>
                <c:pt idx="20">
                  <c:v>2.3333333333333335</c:v>
                </c:pt>
                <c:pt idx="21">
                  <c:v>1.920286436967152</c:v>
                </c:pt>
                <c:pt idx="22">
                  <c:v>0.5</c:v>
                </c:pt>
              </c:numCache>
            </c:numRef>
          </c:yVal>
          <c:smooth val="0"/>
          <c:extLst>
            <c:ext xmlns:c16="http://schemas.microsoft.com/office/drawing/2014/chart" uri="{C3380CC4-5D6E-409C-BE32-E72D297353CC}">
              <c16:uniqueId val="{00000000-D03B-494F-9B0C-0E8BF4657A3C}"/>
            </c:ext>
          </c:extLst>
        </c:ser>
        <c:dLbls>
          <c:showLegendKey val="0"/>
          <c:showVal val="0"/>
          <c:showCatName val="0"/>
          <c:showSerName val="0"/>
          <c:showPercent val="0"/>
          <c:showBubbleSize val="0"/>
        </c:dLbls>
        <c:axId val="59210528"/>
        <c:axId val="59211008"/>
      </c:scatterChart>
      <c:valAx>
        <c:axId val="59210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11008"/>
        <c:crosses val="autoZero"/>
        <c:crossBetween val="midCat"/>
      </c:valAx>
      <c:valAx>
        <c:axId val="5921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105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tes</c:v>
          </c:tx>
          <c:spPr>
            <a:ln w="25400" cap="rnd">
              <a:noFill/>
              <a:round/>
            </a:ln>
            <a:effectLst/>
          </c:spPr>
          <c:marker>
            <c:symbol val="circle"/>
            <c:size val="5"/>
            <c:spPr>
              <a:solidFill>
                <a:schemeClr val="accent1"/>
              </a:solidFill>
              <a:ln w="9525">
                <a:solidFill>
                  <a:schemeClr val="accent1"/>
                </a:solidFill>
              </a:ln>
              <a:effectLst/>
            </c:spPr>
          </c:marker>
          <c:xVal>
            <c:numRef>
              <c:f>'budanis kmean'!$C$91:$C$105</c:f>
              <c:numCache>
                <c:formatCode>h:mm</c:formatCode>
                <c:ptCount val="15"/>
                <c:pt idx="0">
                  <c:v>0.25</c:v>
                </c:pt>
                <c:pt idx="1">
                  <c:v>0.25486111111111109</c:v>
                </c:pt>
                <c:pt idx="2">
                  <c:v>0.29444444444444445</c:v>
                </c:pt>
                <c:pt idx="3">
                  <c:v>0.25486111111111109</c:v>
                </c:pt>
                <c:pt idx="4">
                  <c:v>0.37638888888888888</c:v>
                </c:pt>
                <c:pt idx="5">
                  <c:v>0.29444444444444445</c:v>
                </c:pt>
                <c:pt idx="6">
                  <c:v>0.37708333333333333</c:v>
                </c:pt>
                <c:pt idx="7">
                  <c:v>0.1701388888888889</c:v>
                </c:pt>
                <c:pt idx="8">
                  <c:v>0.25277777777777777</c:v>
                </c:pt>
                <c:pt idx="9">
                  <c:v>0.33680555555555558</c:v>
                </c:pt>
                <c:pt idx="10">
                  <c:v>0.25624999999999998</c:v>
                </c:pt>
                <c:pt idx="11">
                  <c:v>0.21388888888888888</c:v>
                </c:pt>
                <c:pt idx="12">
                  <c:v>0.25208333333333333</c:v>
                </c:pt>
                <c:pt idx="13">
                  <c:v>0.25277777777777777</c:v>
                </c:pt>
                <c:pt idx="14">
                  <c:v>0.13125000000000001</c:v>
                </c:pt>
              </c:numCache>
            </c:numRef>
          </c:xVal>
          <c:yVal>
            <c:numRef>
              <c:f>'budanis kmean'!$D$91:$D$105</c:f>
              <c:numCache>
                <c:formatCode>h:mm</c:formatCode>
                <c:ptCount val="15"/>
                <c:pt idx="0" formatCode="General">
                  <c:v>0.14722222222222223</c:v>
                </c:pt>
                <c:pt idx="1">
                  <c:v>0.12986111111111112</c:v>
                </c:pt>
                <c:pt idx="2">
                  <c:v>0.14027777777777778</c:v>
                </c:pt>
                <c:pt idx="3" formatCode="General">
                  <c:v>0.14791666666666667</c:v>
                </c:pt>
                <c:pt idx="4">
                  <c:v>0.12708333333333333</c:v>
                </c:pt>
                <c:pt idx="5">
                  <c:v>0.1451388888888889</c:v>
                </c:pt>
                <c:pt idx="6">
                  <c:v>0.14444444444444443</c:v>
                </c:pt>
                <c:pt idx="7" formatCode="General">
                  <c:v>0.13333333333333333</c:v>
                </c:pt>
                <c:pt idx="8" formatCode="General">
                  <c:v>0.14722222222222223</c:v>
                </c:pt>
                <c:pt idx="9">
                  <c:v>0.15902777777777777</c:v>
                </c:pt>
                <c:pt idx="10">
                  <c:v>0.13055555555555556</c:v>
                </c:pt>
                <c:pt idx="11" formatCode="General">
                  <c:v>0.14097222222222222</c:v>
                </c:pt>
                <c:pt idx="12">
                  <c:v>0.13750000000000001</c:v>
                </c:pt>
                <c:pt idx="13">
                  <c:v>0.1388888888888889</c:v>
                </c:pt>
                <c:pt idx="14">
                  <c:v>0.1451388888888889</c:v>
                </c:pt>
              </c:numCache>
            </c:numRef>
          </c:yVal>
          <c:smooth val="0"/>
          <c:extLst>
            <c:ext xmlns:c16="http://schemas.microsoft.com/office/drawing/2014/chart" uri="{C3380CC4-5D6E-409C-BE32-E72D297353CC}">
              <c16:uniqueId val="{00000000-845E-4754-BD82-7312FCE9FE19}"/>
            </c:ext>
          </c:extLst>
        </c:ser>
        <c:dLbls>
          <c:showLegendKey val="0"/>
          <c:showVal val="0"/>
          <c:showCatName val="0"/>
          <c:showSerName val="0"/>
          <c:showPercent val="0"/>
          <c:showBubbleSize val="0"/>
        </c:dLbls>
        <c:axId val="943787936"/>
        <c:axId val="943788416"/>
      </c:scatterChart>
      <c:valAx>
        <c:axId val="943787936"/>
        <c:scaling>
          <c:orientation val="minMax"/>
        </c:scaling>
        <c:delete val="0"/>
        <c:axPos val="b"/>
        <c:majorGridlines>
          <c:spPr>
            <a:ln w="9525" cap="flat" cmpd="sng" algn="ctr">
              <a:solidFill>
                <a:schemeClr val="tx1">
                  <a:lumMod val="15000"/>
                  <a:lumOff val="85000"/>
                </a:schemeClr>
              </a:solidFill>
              <a:round/>
            </a:ln>
            <a:effectLst/>
          </c:spPr>
        </c:majorGridlines>
        <c:numFmt formatCode="h: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788416"/>
        <c:crosses val="autoZero"/>
        <c:crossBetween val="midCat"/>
      </c:valAx>
      <c:valAx>
        <c:axId val="94378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7879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7.png"/><Relationship Id="rId7" Type="http://schemas.openxmlformats.org/officeDocument/2006/relationships/image" Target="../media/image10.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10" Type="http://schemas.openxmlformats.org/officeDocument/2006/relationships/chart" Target="../charts/chart2.xml"/><Relationship Id="rId4" Type="http://schemas.openxmlformats.org/officeDocument/2006/relationships/image" Target="../media/image8.png"/><Relationship Id="rId9"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_rels/drawing7.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0</xdr:col>
      <xdr:colOff>628651</xdr:colOff>
      <xdr:row>9</xdr:row>
      <xdr:rowOff>66675</xdr:rowOff>
    </xdr:from>
    <xdr:to>
      <xdr:col>0</xdr:col>
      <xdr:colOff>742951</xdr:colOff>
      <xdr:row>9</xdr:row>
      <xdr:rowOff>161924</xdr:rowOff>
    </xdr:to>
    <xdr:sp macro="" textlink="">
      <xdr:nvSpPr>
        <xdr:cNvPr id="4" name="Rectangle 3">
          <a:extLst>
            <a:ext uri="{FF2B5EF4-FFF2-40B4-BE49-F238E27FC236}">
              <a16:creationId xmlns:a16="http://schemas.microsoft.com/office/drawing/2014/main" id="{0E65C0E5-800D-0178-3EDA-2547193F9BA0}"/>
            </a:ext>
          </a:extLst>
        </xdr:cNvPr>
        <xdr:cNvSpPr/>
      </xdr:nvSpPr>
      <xdr:spPr>
        <a:xfrm>
          <a:off x="628651" y="1781175"/>
          <a:ext cx="114300" cy="95249"/>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762000</xdr:colOff>
      <xdr:row>9</xdr:row>
      <xdr:rowOff>66675</xdr:rowOff>
    </xdr:from>
    <xdr:to>
      <xdr:col>0</xdr:col>
      <xdr:colOff>876300</xdr:colOff>
      <xdr:row>9</xdr:row>
      <xdr:rowOff>161924</xdr:rowOff>
    </xdr:to>
    <xdr:sp macro="" textlink="">
      <xdr:nvSpPr>
        <xdr:cNvPr id="8" name="Rectangle 7">
          <a:extLst>
            <a:ext uri="{FF2B5EF4-FFF2-40B4-BE49-F238E27FC236}">
              <a16:creationId xmlns:a16="http://schemas.microsoft.com/office/drawing/2014/main" id="{2A2B9B46-02AC-431F-A8D8-2B447DAE8030}"/>
            </a:ext>
          </a:extLst>
        </xdr:cNvPr>
        <xdr:cNvSpPr/>
      </xdr:nvSpPr>
      <xdr:spPr>
        <a:xfrm>
          <a:off x="762000" y="1781175"/>
          <a:ext cx="114300" cy="95249"/>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895350</xdr:colOff>
      <xdr:row>9</xdr:row>
      <xdr:rowOff>66675</xdr:rowOff>
    </xdr:from>
    <xdr:to>
      <xdr:col>0</xdr:col>
      <xdr:colOff>1009650</xdr:colOff>
      <xdr:row>9</xdr:row>
      <xdr:rowOff>161924</xdr:rowOff>
    </xdr:to>
    <xdr:sp macro="" textlink="">
      <xdr:nvSpPr>
        <xdr:cNvPr id="9" name="Rectangle 8">
          <a:extLst>
            <a:ext uri="{FF2B5EF4-FFF2-40B4-BE49-F238E27FC236}">
              <a16:creationId xmlns:a16="http://schemas.microsoft.com/office/drawing/2014/main" id="{A681CE3C-224F-4E81-A5D7-AA9D7C86C8B3}"/>
            </a:ext>
          </a:extLst>
        </xdr:cNvPr>
        <xdr:cNvSpPr/>
      </xdr:nvSpPr>
      <xdr:spPr>
        <a:xfrm>
          <a:off x="895350" y="1781175"/>
          <a:ext cx="114300" cy="95249"/>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1028700</xdr:colOff>
      <xdr:row>9</xdr:row>
      <xdr:rowOff>66675</xdr:rowOff>
    </xdr:from>
    <xdr:to>
      <xdr:col>0</xdr:col>
      <xdr:colOff>1143000</xdr:colOff>
      <xdr:row>9</xdr:row>
      <xdr:rowOff>161924</xdr:rowOff>
    </xdr:to>
    <xdr:sp macro="" textlink="">
      <xdr:nvSpPr>
        <xdr:cNvPr id="10" name="Rectangle 9">
          <a:extLst>
            <a:ext uri="{FF2B5EF4-FFF2-40B4-BE49-F238E27FC236}">
              <a16:creationId xmlns:a16="http://schemas.microsoft.com/office/drawing/2014/main" id="{3EF2C963-C33E-4F2D-8884-1AFC405D3A3D}"/>
            </a:ext>
          </a:extLst>
        </xdr:cNvPr>
        <xdr:cNvSpPr/>
      </xdr:nvSpPr>
      <xdr:spPr>
        <a:xfrm>
          <a:off x="1028700" y="1781175"/>
          <a:ext cx="114300" cy="95249"/>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7</xdr:col>
      <xdr:colOff>504825</xdr:colOff>
      <xdr:row>10</xdr:row>
      <xdr:rowOff>257175</xdr:rowOff>
    </xdr:from>
    <xdr:to>
      <xdr:col>7</xdr:col>
      <xdr:colOff>619125</xdr:colOff>
      <xdr:row>10</xdr:row>
      <xdr:rowOff>352424</xdr:rowOff>
    </xdr:to>
    <xdr:sp macro="" textlink="">
      <xdr:nvSpPr>
        <xdr:cNvPr id="2" name="Rectangle 1">
          <a:extLst>
            <a:ext uri="{FF2B5EF4-FFF2-40B4-BE49-F238E27FC236}">
              <a16:creationId xmlns:a16="http://schemas.microsoft.com/office/drawing/2014/main" id="{B3252861-CEEE-4BD4-A809-FBD970CC7E46}"/>
            </a:ext>
          </a:extLst>
        </xdr:cNvPr>
        <xdr:cNvSpPr/>
      </xdr:nvSpPr>
      <xdr:spPr>
        <a:xfrm>
          <a:off x="10458450" y="2162175"/>
          <a:ext cx="114300" cy="95249"/>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504825</xdr:colOff>
      <xdr:row>11</xdr:row>
      <xdr:rowOff>257175</xdr:rowOff>
    </xdr:from>
    <xdr:to>
      <xdr:col>0</xdr:col>
      <xdr:colOff>619125</xdr:colOff>
      <xdr:row>11</xdr:row>
      <xdr:rowOff>352424</xdr:rowOff>
    </xdr:to>
    <xdr:sp macro="" textlink="">
      <xdr:nvSpPr>
        <xdr:cNvPr id="3" name="Rectangle 2">
          <a:extLst>
            <a:ext uri="{FF2B5EF4-FFF2-40B4-BE49-F238E27FC236}">
              <a16:creationId xmlns:a16="http://schemas.microsoft.com/office/drawing/2014/main" id="{9FE44F29-E282-4477-9CBE-9F43B34CC091}"/>
            </a:ext>
          </a:extLst>
        </xdr:cNvPr>
        <xdr:cNvSpPr/>
      </xdr:nvSpPr>
      <xdr:spPr>
        <a:xfrm>
          <a:off x="504825" y="2562225"/>
          <a:ext cx="114300" cy="95249"/>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390524</xdr:colOff>
      <xdr:row>12</xdr:row>
      <xdr:rowOff>428625</xdr:rowOff>
    </xdr:from>
    <xdr:to>
      <xdr:col>8</xdr:col>
      <xdr:colOff>514349</xdr:colOff>
      <xdr:row>12</xdr:row>
      <xdr:rowOff>523875</xdr:rowOff>
    </xdr:to>
    <xdr:sp macro="" textlink="">
      <xdr:nvSpPr>
        <xdr:cNvPr id="5" name="Rectangle 4">
          <a:extLst>
            <a:ext uri="{FF2B5EF4-FFF2-40B4-BE49-F238E27FC236}">
              <a16:creationId xmlns:a16="http://schemas.microsoft.com/office/drawing/2014/main" id="{4A371E83-ABF5-4926-B938-3DD2C4C9E815}"/>
            </a:ext>
          </a:extLst>
        </xdr:cNvPr>
        <xdr:cNvSpPr/>
      </xdr:nvSpPr>
      <xdr:spPr>
        <a:xfrm>
          <a:off x="11734799" y="3200400"/>
          <a:ext cx="123825" cy="95250"/>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7</xdr:col>
      <xdr:colOff>76200</xdr:colOff>
      <xdr:row>13</xdr:row>
      <xdr:rowOff>66675</xdr:rowOff>
    </xdr:from>
    <xdr:to>
      <xdr:col>7</xdr:col>
      <xdr:colOff>190500</xdr:colOff>
      <xdr:row>13</xdr:row>
      <xdr:rowOff>161924</xdr:rowOff>
    </xdr:to>
    <xdr:sp macro="" textlink="">
      <xdr:nvSpPr>
        <xdr:cNvPr id="6" name="Rectangle 5">
          <a:extLst>
            <a:ext uri="{FF2B5EF4-FFF2-40B4-BE49-F238E27FC236}">
              <a16:creationId xmlns:a16="http://schemas.microsoft.com/office/drawing/2014/main" id="{89D46D88-A2C5-44B3-B7D0-17BFC09DF2ED}"/>
            </a:ext>
          </a:extLst>
        </xdr:cNvPr>
        <xdr:cNvSpPr/>
      </xdr:nvSpPr>
      <xdr:spPr>
        <a:xfrm>
          <a:off x="10029825" y="3438525"/>
          <a:ext cx="114300" cy="95249"/>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36</xdr:col>
      <xdr:colOff>557625</xdr:colOff>
      <xdr:row>66</xdr:row>
      <xdr:rowOff>114728</xdr:rowOff>
    </xdr:from>
    <xdr:to>
      <xdr:col>37</xdr:col>
      <xdr:colOff>668083</xdr:colOff>
      <xdr:row>74</xdr:row>
      <xdr:rowOff>3253</xdr:rowOff>
    </xdr:to>
    <xdr:pic>
      <xdr:nvPicPr>
        <xdr:cNvPr id="2" name="Picture 1">
          <a:extLst>
            <a:ext uri="{FF2B5EF4-FFF2-40B4-BE49-F238E27FC236}">
              <a16:creationId xmlns:a16="http://schemas.microsoft.com/office/drawing/2014/main" id="{EC0400FD-DB7E-BBA0-B4DD-B511EBFBF03B}"/>
            </a:ext>
          </a:extLst>
        </xdr:cNvPr>
        <xdr:cNvPicPr>
          <a:picLocks noChangeAspect="1"/>
        </xdr:cNvPicPr>
      </xdr:nvPicPr>
      <xdr:blipFill>
        <a:blip xmlns:r="http://schemas.openxmlformats.org/officeDocument/2006/relationships" r:embed="rId1"/>
        <a:stretch>
          <a:fillRect/>
        </a:stretch>
      </xdr:blipFill>
      <xdr:spPr>
        <a:xfrm>
          <a:off x="46449982" y="12470014"/>
          <a:ext cx="2006387" cy="1339953"/>
        </a:xfrm>
        <a:prstGeom prst="rect">
          <a:avLst/>
        </a:prstGeom>
      </xdr:spPr>
    </xdr:pic>
    <xdr:clientData/>
  </xdr:twoCellAnchor>
  <xdr:twoCellAnchor editAs="oneCell">
    <xdr:from>
      <xdr:col>36</xdr:col>
      <xdr:colOff>745456</xdr:colOff>
      <xdr:row>75</xdr:row>
      <xdr:rowOff>83779</xdr:rowOff>
    </xdr:from>
    <xdr:to>
      <xdr:col>37</xdr:col>
      <xdr:colOff>484709</xdr:colOff>
      <xdr:row>79</xdr:row>
      <xdr:rowOff>9855</xdr:rowOff>
    </xdr:to>
    <xdr:pic>
      <xdr:nvPicPr>
        <xdr:cNvPr id="3" name="Picture 2">
          <a:extLst>
            <a:ext uri="{FF2B5EF4-FFF2-40B4-BE49-F238E27FC236}">
              <a16:creationId xmlns:a16="http://schemas.microsoft.com/office/drawing/2014/main" id="{C699389B-9865-1EA0-5FA5-679AA1C17527}"/>
            </a:ext>
          </a:extLst>
        </xdr:cNvPr>
        <xdr:cNvPicPr>
          <a:picLocks noChangeAspect="1"/>
        </xdr:cNvPicPr>
      </xdr:nvPicPr>
      <xdr:blipFill>
        <a:blip xmlns:r="http://schemas.openxmlformats.org/officeDocument/2006/relationships" r:embed="rId2"/>
        <a:stretch>
          <a:fillRect/>
        </a:stretch>
      </xdr:blipFill>
      <xdr:spPr>
        <a:xfrm>
          <a:off x="46637813" y="14071922"/>
          <a:ext cx="1635182" cy="651790"/>
        </a:xfrm>
        <a:prstGeom prst="rect">
          <a:avLst/>
        </a:prstGeom>
      </xdr:spPr>
    </xdr:pic>
    <xdr:clientData/>
  </xdr:twoCellAnchor>
  <xdr:twoCellAnchor editAs="oneCell">
    <xdr:from>
      <xdr:col>21</xdr:col>
      <xdr:colOff>401052</xdr:colOff>
      <xdr:row>18</xdr:row>
      <xdr:rowOff>55702</xdr:rowOff>
    </xdr:from>
    <xdr:to>
      <xdr:col>23</xdr:col>
      <xdr:colOff>651892</xdr:colOff>
      <xdr:row>21</xdr:row>
      <xdr:rowOff>14621</xdr:rowOff>
    </xdr:to>
    <xdr:pic>
      <xdr:nvPicPr>
        <xdr:cNvPr id="4" name="Picture 3">
          <a:extLst>
            <a:ext uri="{FF2B5EF4-FFF2-40B4-BE49-F238E27FC236}">
              <a16:creationId xmlns:a16="http://schemas.microsoft.com/office/drawing/2014/main" id="{CB869B17-3E2B-EFD8-F168-39B537A10FD7}"/>
            </a:ext>
          </a:extLst>
        </xdr:cNvPr>
        <xdr:cNvPicPr>
          <a:picLocks noChangeAspect="1"/>
        </xdr:cNvPicPr>
      </xdr:nvPicPr>
      <xdr:blipFill>
        <a:blip xmlns:r="http://schemas.openxmlformats.org/officeDocument/2006/relationships" r:embed="rId3"/>
        <a:stretch>
          <a:fillRect/>
        </a:stretch>
      </xdr:blipFill>
      <xdr:spPr>
        <a:xfrm>
          <a:off x="33599298" y="3642895"/>
          <a:ext cx="1752690" cy="527077"/>
        </a:xfrm>
        <a:prstGeom prst="rect">
          <a:avLst/>
        </a:prstGeom>
      </xdr:spPr>
    </xdr:pic>
    <xdr:clientData/>
  </xdr:twoCellAnchor>
  <xdr:twoCellAnchor editAs="oneCell">
    <xdr:from>
      <xdr:col>23</xdr:col>
      <xdr:colOff>903941</xdr:colOff>
      <xdr:row>12</xdr:row>
      <xdr:rowOff>104588</xdr:rowOff>
    </xdr:from>
    <xdr:to>
      <xdr:col>27</xdr:col>
      <xdr:colOff>268941</xdr:colOff>
      <xdr:row>22</xdr:row>
      <xdr:rowOff>9293</xdr:rowOff>
    </xdr:to>
    <xdr:pic>
      <xdr:nvPicPr>
        <xdr:cNvPr id="5" name="Picture 4">
          <a:extLst>
            <a:ext uri="{FF2B5EF4-FFF2-40B4-BE49-F238E27FC236}">
              <a16:creationId xmlns:a16="http://schemas.microsoft.com/office/drawing/2014/main" id="{4BC51507-C81A-6CD3-566B-45D49645A38F}"/>
            </a:ext>
          </a:extLst>
        </xdr:cNvPr>
        <xdr:cNvPicPr>
          <a:picLocks noChangeAspect="1"/>
        </xdr:cNvPicPr>
      </xdr:nvPicPr>
      <xdr:blipFill>
        <a:blip xmlns:r="http://schemas.openxmlformats.org/officeDocument/2006/relationships" r:embed="rId4"/>
        <a:stretch>
          <a:fillRect/>
        </a:stretch>
      </xdr:blipFill>
      <xdr:spPr>
        <a:xfrm>
          <a:off x="35619765" y="2525059"/>
          <a:ext cx="2502647" cy="17723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313896</xdr:colOff>
      <xdr:row>56</xdr:row>
      <xdr:rowOff>100435</xdr:rowOff>
    </xdr:from>
    <xdr:to>
      <xdr:col>19</xdr:col>
      <xdr:colOff>422300</xdr:colOff>
      <xdr:row>58</xdr:row>
      <xdr:rowOff>130305</xdr:rowOff>
    </xdr:to>
    <xdr:pic>
      <xdr:nvPicPr>
        <xdr:cNvPr id="5" name="Picture 4">
          <a:extLst>
            <a:ext uri="{FF2B5EF4-FFF2-40B4-BE49-F238E27FC236}">
              <a16:creationId xmlns:a16="http://schemas.microsoft.com/office/drawing/2014/main" id="{A9C89C1E-E294-4FCE-A6CA-653EDEA706F0}"/>
            </a:ext>
          </a:extLst>
        </xdr:cNvPr>
        <xdr:cNvPicPr>
          <a:picLocks noChangeAspect="1"/>
        </xdr:cNvPicPr>
      </xdr:nvPicPr>
      <xdr:blipFill>
        <a:blip xmlns:r="http://schemas.openxmlformats.org/officeDocument/2006/relationships" r:embed="rId1"/>
        <a:stretch>
          <a:fillRect/>
        </a:stretch>
      </xdr:blipFill>
      <xdr:spPr>
        <a:xfrm>
          <a:off x="15397447" y="10407681"/>
          <a:ext cx="1507245" cy="397986"/>
        </a:xfrm>
        <a:prstGeom prst="rect">
          <a:avLst/>
        </a:prstGeom>
      </xdr:spPr>
    </xdr:pic>
    <xdr:clientData/>
  </xdr:twoCellAnchor>
  <xdr:twoCellAnchor editAs="oneCell">
    <xdr:from>
      <xdr:col>17</xdr:col>
      <xdr:colOff>313708</xdr:colOff>
      <xdr:row>59</xdr:row>
      <xdr:rowOff>53108</xdr:rowOff>
    </xdr:from>
    <xdr:to>
      <xdr:col>19</xdr:col>
      <xdr:colOff>390360</xdr:colOff>
      <xdr:row>61</xdr:row>
      <xdr:rowOff>129433</xdr:rowOff>
    </xdr:to>
    <xdr:pic>
      <xdr:nvPicPr>
        <xdr:cNvPr id="6" name="Picture 5">
          <a:extLst>
            <a:ext uri="{FF2B5EF4-FFF2-40B4-BE49-F238E27FC236}">
              <a16:creationId xmlns:a16="http://schemas.microsoft.com/office/drawing/2014/main" id="{744095F2-077A-4832-A5EA-E53ED591AF70}"/>
            </a:ext>
          </a:extLst>
        </xdr:cNvPr>
        <xdr:cNvPicPr>
          <a:picLocks noChangeAspect="1"/>
        </xdr:cNvPicPr>
      </xdr:nvPicPr>
      <xdr:blipFill>
        <a:blip xmlns:r="http://schemas.openxmlformats.org/officeDocument/2006/relationships" r:embed="rId2"/>
        <a:stretch>
          <a:fillRect/>
        </a:stretch>
      </xdr:blipFill>
      <xdr:spPr>
        <a:xfrm>
          <a:off x="15397259" y="10912528"/>
          <a:ext cx="1475493" cy="444441"/>
        </a:xfrm>
        <a:prstGeom prst="rect">
          <a:avLst/>
        </a:prstGeom>
      </xdr:spPr>
    </xdr:pic>
    <xdr:clientData/>
  </xdr:twoCellAnchor>
  <xdr:twoCellAnchor editAs="oneCell">
    <xdr:from>
      <xdr:col>17</xdr:col>
      <xdr:colOff>20820</xdr:colOff>
      <xdr:row>63</xdr:row>
      <xdr:rowOff>30945</xdr:rowOff>
    </xdr:from>
    <xdr:to>
      <xdr:col>22</xdr:col>
      <xdr:colOff>1115590</xdr:colOff>
      <xdr:row>69</xdr:row>
      <xdr:rowOff>10846</xdr:rowOff>
    </xdr:to>
    <xdr:pic>
      <xdr:nvPicPr>
        <xdr:cNvPr id="7" name="Picture 6">
          <a:extLst>
            <a:ext uri="{FF2B5EF4-FFF2-40B4-BE49-F238E27FC236}">
              <a16:creationId xmlns:a16="http://schemas.microsoft.com/office/drawing/2014/main" id="{5ECAD3CE-0344-4900-8152-2330E5CB9DD2}"/>
            </a:ext>
          </a:extLst>
        </xdr:cNvPr>
        <xdr:cNvPicPr>
          <a:picLocks noChangeAspect="1"/>
        </xdr:cNvPicPr>
      </xdr:nvPicPr>
      <xdr:blipFill>
        <a:blip xmlns:r="http://schemas.openxmlformats.org/officeDocument/2006/relationships" r:embed="rId3"/>
        <a:stretch>
          <a:fillRect/>
        </a:stretch>
      </xdr:blipFill>
      <xdr:spPr>
        <a:xfrm>
          <a:off x="15187951" y="11835699"/>
          <a:ext cx="4342640" cy="1104163"/>
        </a:xfrm>
        <a:prstGeom prst="rect">
          <a:avLst/>
        </a:prstGeom>
      </xdr:spPr>
    </xdr:pic>
    <xdr:clientData/>
  </xdr:twoCellAnchor>
  <xdr:twoCellAnchor editAs="oneCell">
    <xdr:from>
      <xdr:col>22</xdr:col>
      <xdr:colOff>46219</xdr:colOff>
      <xdr:row>55</xdr:row>
      <xdr:rowOff>163756</xdr:rowOff>
    </xdr:from>
    <xdr:to>
      <xdr:col>23</xdr:col>
      <xdr:colOff>591108</xdr:colOff>
      <xdr:row>58</xdr:row>
      <xdr:rowOff>120838</xdr:rowOff>
    </xdr:to>
    <xdr:pic>
      <xdr:nvPicPr>
        <xdr:cNvPr id="8" name="Picture 7">
          <a:extLst>
            <a:ext uri="{FF2B5EF4-FFF2-40B4-BE49-F238E27FC236}">
              <a16:creationId xmlns:a16="http://schemas.microsoft.com/office/drawing/2014/main" id="{1F770761-CA9A-4991-A3F0-F7F3B8AE1663}"/>
            </a:ext>
          </a:extLst>
        </xdr:cNvPr>
        <xdr:cNvPicPr>
          <a:picLocks noChangeAspect="1"/>
        </xdr:cNvPicPr>
      </xdr:nvPicPr>
      <xdr:blipFill>
        <a:blip xmlns:r="http://schemas.openxmlformats.org/officeDocument/2006/relationships" r:embed="rId4"/>
        <a:stretch>
          <a:fillRect/>
        </a:stretch>
      </xdr:blipFill>
      <xdr:spPr>
        <a:xfrm>
          <a:off x="18391369" y="10292006"/>
          <a:ext cx="1751388" cy="509532"/>
        </a:xfrm>
        <a:prstGeom prst="rect">
          <a:avLst/>
        </a:prstGeom>
      </xdr:spPr>
    </xdr:pic>
    <xdr:clientData/>
  </xdr:twoCellAnchor>
  <xdr:twoCellAnchor editAs="oneCell">
    <xdr:from>
      <xdr:col>24</xdr:col>
      <xdr:colOff>23283</xdr:colOff>
      <xdr:row>48</xdr:row>
      <xdr:rowOff>8927</xdr:rowOff>
    </xdr:from>
    <xdr:to>
      <xdr:col>31</xdr:col>
      <xdr:colOff>239413</xdr:colOff>
      <xdr:row>72</xdr:row>
      <xdr:rowOff>40906</xdr:rowOff>
    </xdr:to>
    <xdr:pic>
      <xdr:nvPicPr>
        <xdr:cNvPr id="10" name="Picture 9">
          <a:extLst>
            <a:ext uri="{FF2B5EF4-FFF2-40B4-BE49-F238E27FC236}">
              <a16:creationId xmlns:a16="http://schemas.microsoft.com/office/drawing/2014/main" id="{539D4BEF-73C3-6E2B-8FA3-43C0014F104D}"/>
            </a:ext>
          </a:extLst>
        </xdr:cNvPr>
        <xdr:cNvPicPr>
          <a:picLocks noChangeAspect="1"/>
        </xdr:cNvPicPr>
      </xdr:nvPicPr>
      <xdr:blipFill>
        <a:blip xmlns:r="http://schemas.openxmlformats.org/officeDocument/2006/relationships" r:embed="rId5"/>
        <a:stretch>
          <a:fillRect/>
        </a:stretch>
      </xdr:blipFill>
      <xdr:spPr>
        <a:xfrm>
          <a:off x="30457101" y="8875836"/>
          <a:ext cx="4499494" cy="4465434"/>
        </a:xfrm>
        <a:prstGeom prst="rect">
          <a:avLst/>
        </a:prstGeom>
      </xdr:spPr>
    </xdr:pic>
    <xdr:clientData/>
  </xdr:twoCellAnchor>
  <xdr:twoCellAnchor editAs="oneCell">
    <xdr:from>
      <xdr:col>33</xdr:col>
      <xdr:colOff>70699</xdr:colOff>
      <xdr:row>64</xdr:row>
      <xdr:rowOff>137396</xdr:rowOff>
    </xdr:from>
    <xdr:to>
      <xdr:col>39</xdr:col>
      <xdr:colOff>223847</xdr:colOff>
      <xdr:row>73</xdr:row>
      <xdr:rowOff>72099</xdr:rowOff>
    </xdr:to>
    <xdr:pic>
      <xdr:nvPicPr>
        <xdr:cNvPr id="2" name="Picture 1">
          <a:extLst>
            <a:ext uri="{FF2B5EF4-FFF2-40B4-BE49-F238E27FC236}">
              <a16:creationId xmlns:a16="http://schemas.microsoft.com/office/drawing/2014/main" id="{40B8872A-864B-F607-CEBE-5FC51CE12471}"/>
            </a:ext>
          </a:extLst>
        </xdr:cNvPr>
        <xdr:cNvPicPr>
          <a:picLocks noChangeAspect="1"/>
        </xdr:cNvPicPr>
      </xdr:nvPicPr>
      <xdr:blipFill>
        <a:blip xmlns:r="http://schemas.openxmlformats.org/officeDocument/2006/relationships" r:embed="rId6"/>
        <a:stretch>
          <a:fillRect/>
        </a:stretch>
      </xdr:blipFill>
      <xdr:spPr>
        <a:xfrm>
          <a:off x="36011699" y="11959941"/>
          <a:ext cx="3824603" cy="1597249"/>
        </a:xfrm>
        <a:prstGeom prst="rect">
          <a:avLst/>
        </a:prstGeom>
      </xdr:spPr>
    </xdr:pic>
    <xdr:clientData/>
  </xdr:twoCellAnchor>
  <xdr:twoCellAnchor editAs="oneCell">
    <xdr:from>
      <xdr:col>33</xdr:col>
      <xdr:colOff>171824</xdr:colOff>
      <xdr:row>43</xdr:row>
      <xdr:rowOff>112060</xdr:rowOff>
    </xdr:from>
    <xdr:to>
      <xdr:col>43</xdr:col>
      <xdr:colOff>516924</xdr:colOff>
      <xdr:row>64</xdr:row>
      <xdr:rowOff>50999</xdr:rowOff>
    </xdr:to>
    <xdr:pic>
      <xdr:nvPicPr>
        <xdr:cNvPr id="3" name="Picture 2">
          <a:extLst>
            <a:ext uri="{FF2B5EF4-FFF2-40B4-BE49-F238E27FC236}">
              <a16:creationId xmlns:a16="http://schemas.microsoft.com/office/drawing/2014/main" id="{31E7F5F5-D356-ECE7-E090-9A5401D94373}"/>
            </a:ext>
          </a:extLst>
        </xdr:cNvPr>
        <xdr:cNvPicPr>
          <a:picLocks noChangeAspect="1"/>
        </xdr:cNvPicPr>
      </xdr:nvPicPr>
      <xdr:blipFill>
        <a:blip xmlns:r="http://schemas.openxmlformats.org/officeDocument/2006/relationships" r:embed="rId7"/>
        <a:stretch>
          <a:fillRect/>
        </a:stretch>
      </xdr:blipFill>
      <xdr:spPr>
        <a:xfrm>
          <a:off x="36112824" y="8055333"/>
          <a:ext cx="6464191" cy="3818211"/>
        </a:xfrm>
        <a:prstGeom prst="rect">
          <a:avLst/>
        </a:prstGeom>
      </xdr:spPr>
    </xdr:pic>
    <xdr:clientData/>
  </xdr:twoCellAnchor>
  <xdr:twoCellAnchor editAs="oneCell">
    <xdr:from>
      <xdr:col>40</xdr:col>
      <xdr:colOff>0</xdr:colOff>
      <xdr:row>65</xdr:row>
      <xdr:rowOff>0</xdr:rowOff>
    </xdr:from>
    <xdr:to>
      <xdr:col>50</xdr:col>
      <xdr:colOff>33935</xdr:colOff>
      <xdr:row>80</xdr:row>
      <xdr:rowOff>52816</xdr:rowOff>
    </xdr:to>
    <xdr:pic>
      <xdr:nvPicPr>
        <xdr:cNvPr id="4" name="Picture 3">
          <a:extLst>
            <a:ext uri="{FF2B5EF4-FFF2-40B4-BE49-F238E27FC236}">
              <a16:creationId xmlns:a16="http://schemas.microsoft.com/office/drawing/2014/main" id="{E852A7C2-877C-B2D1-9C26-59C03CAF2528}"/>
            </a:ext>
          </a:extLst>
        </xdr:cNvPr>
        <xdr:cNvPicPr>
          <a:picLocks noChangeAspect="1"/>
        </xdr:cNvPicPr>
      </xdr:nvPicPr>
      <xdr:blipFill>
        <a:blip xmlns:r="http://schemas.openxmlformats.org/officeDocument/2006/relationships" r:embed="rId8"/>
        <a:stretch>
          <a:fillRect/>
        </a:stretch>
      </xdr:blipFill>
      <xdr:spPr>
        <a:xfrm>
          <a:off x="30315647" y="12139706"/>
          <a:ext cx="6159817" cy="287669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31</xdr:col>
      <xdr:colOff>216093</xdr:colOff>
      <xdr:row>60</xdr:row>
      <xdr:rowOff>24826</xdr:rowOff>
    </xdr:from>
    <xdr:to>
      <xdr:col>33</xdr:col>
      <xdr:colOff>531671</xdr:colOff>
      <xdr:row>62</xdr:row>
      <xdr:rowOff>61294</xdr:rowOff>
    </xdr:to>
    <xdr:pic>
      <xdr:nvPicPr>
        <xdr:cNvPr id="8" name="Picture 7">
          <a:extLst>
            <a:ext uri="{FF2B5EF4-FFF2-40B4-BE49-F238E27FC236}">
              <a16:creationId xmlns:a16="http://schemas.microsoft.com/office/drawing/2014/main" id="{E69D7195-351E-474D-9B95-7AF4AE32089F}"/>
            </a:ext>
          </a:extLst>
        </xdr:cNvPr>
        <xdr:cNvPicPr>
          <a:picLocks noChangeAspect="1"/>
        </xdr:cNvPicPr>
      </xdr:nvPicPr>
      <xdr:blipFill>
        <a:blip xmlns:r="http://schemas.openxmlformats.org/officeDocument/2006/relationships" r:embed="rId1"/>
        <a:stretch>
          <a:fillRect/>
        </a:stretch>
      </xdr:blipFill>
      <xdr:spPr>
        <a:xfrm>
          <a:off x="24149820" y="11108462"/>
          <a:ext cx="1539396" cy="405923"/>
        </a:xfrm>
        <a:prstGeom prst="rect">
          <a:avLst/>
        </a:prstGeom>
      </xdr:spPr>
    </xdr:pic>
    <xdr:clientData/>
  </xdr:twoCellAnchor>
  <xdr:twoCellAnchor editAs="oneCell">
    <xdr:from>
      <xdr:col>31</xdr:col>
      <xdr:colOff>383993</xdr:colOff>
      <xdr:row>62</xdr:row>
      <xdr:rowOff>178161</xdr:rowOff>
    </xdr:from>
    <xdr:to>
      <xdr:col>34</xdr:col>
      <xdr:colOff>63795</xdr:colOff>
      <xdr:row>65</xdr:row>
      <xdr:rowOff>79655</xdr:rowOff>
    </xdr:to>
    <xdr:pic>
      <xdr:nvPicPr>
        <xdr:cNvPr id="9" name="Picture 8">
          <a:extLst>
            <a:ext uri="{FF2B5EF4-FFF2-40B4-BE49-F238E27FC236}">
              <a16:creationId xmlns:a16="http://schemas.microsoft.com/office/drawing/2014/main" id="{C9025F69-F859-4A34-89AE-327D1CA3BE83}"/>
            </a:ext>
          </a:extLst>
        </xdr:cNvPr>
        <xdr:cNvPicPr>
          <a:picLocks noChangeAspect="1"/>
        </xdr:cNvPicPr>
      </xdr:nvPicPr>
      <xdr:blipFill>
        <a:blip xmlns:r="http://schemas.openxmlformats.org/officeDocument/2006/relationships" r:embed="rId2"/>
        <a:stretch>
          <a:fillRect/>
        </a:stretch>
      </xdr:blipFill>
      <xdr:spPr>
        <a:xfrm>
          <a:off x="24317720" y="11631252"/>
          <a:ext cx="1515530" cy="455676"/>
        </a:xfrm>
        <a:prstGeom prst="rect">
          <a:avLst/>
        </a:prstGeom>
      </xdr:spPr>
    </xdr:pic>
    <xdr:clientData/>
  </xdr:twoCellAnchor>
  <xdr:twoCellAnchor editAs="oneCell">
    <xdr:from>
      <xdr:col>31</xdr:col>
      <xdr:colOff>225257</xdr:colOff>
      <xdr:row>66</xdr:row>
      <xdr:rowOff>63741</xdr:rowOff>
    </xdr:from>
    <xdr:to>
      <xdr:col>38</xdr:col>
      <xdr:colOff>355813</xdr:colOff>
      <xdr:row>72</xdr:row>
      <xdr:rowOff>63434</xdr:rowOff>
    </xdr:to>
    <xdr:pic>
      <xdr:nvPicPr>
        <xdr:cNvPr id="10" name="Picture 9">
          <a:extLst>
            <a:ext uri="{FF2B5EF4-FFF2-40B4-BE49-F238E27FC236}">
              <a16:creationId xmlns:a16="http://schemas.microsoft.com/office/drawing/2014/main" id="{1C09CFC8-33E7-40F9-BE8F-6D8178A3C4DC}"/>
            </a:ext>
          </a:extLst>
        </xdr:cNvPr>
        <xdr:cNvPicPr>
          <a:picLocks noChangeAspect="1"/>
        </xdr:cNvPicPr>
      </xdr:nvPicPr>
      <xdr:blipFill>
        <a:blip xmlns:r="http://schemas.openxmlformats.org/officeDocument/2006/relationships" r:embed="rId3"/>
        <a:stretch>
          <a:fillRect/>
        </a:stretch>
      </xdr:blipFill>
      <xdr:spPr>
        <a:xfrm>
          <a:off x="24158984" y="12255741"/>
          <a:ext cx="4413920" cy="1108057"/>
        </a:xfrm>
        <a:prstGeom prst="rect">
          <a:avLst/>
        </a:prstGeom>
      </xdr:spPr>
    </xdr:pic>
    <xdr:clientData/>
  </xdr:twoCellAnchor>
  <xdr:twoCellAnchor editAs="oneCell">
    <xdr:from>
      <xdr:col>40</xdr:col>
      <xdr:colOff>294269</xdr:colOff>
      <xdr:row>59</xdr:row>
      <xdr:rowOff>101206</xdr:rowOff>
    </xdr:from>
    <xdr:to>
      <xdr:col>47</xdr:col>
      <xdr:colOff>539264</xdr:colOff>
      <xdr:row>84</xdr:row>
      <xdr:rowOff>30925</xdr:rowOff>
    </xdr:to>
    <xdr:pic>
      <xdr:nvPicPr>
        <xdr:cNvPr id="11" name="Picture 10">
          <a:extLst>
            <a:ext uri="{FF2B5EF4-FFF2-40B4-BE49-F238E27FC236}">
              <a16:creationId xmlns:a16="http://schemas.microsoft.com/office/drawing/2014/main" id="{0AA4DE2D-369B-4C89-9F8F-170F5B9B7672}"/>
            </a:ext>
          </a:extLst>
        </xdr:cNvPr>
        <xdr:cNvPicPr>
          <a:picLocks noChangeAspect="1"/>
        </xdr:cNvPicPr>
      </xdr:nvPicPr>
      <xdr:blipFill>
        <a:blip xmlns:r="http://schemas.openxmlformats.org/officeDocument/2006/relationships" r:embed="rId4"/>
        <a:stretch>
          <a:fillRect/>
        </a:stretch>
      </xdr:blipFill>
      <xdr:spPr>
        <a:xfrm>
          <a:off x="29735178" y="11000115"/>
          <a:ext cx="4528359" cy="4547901"/>
        </a:xfrm>
        <a:prstGeom prst="rect">
          <a:avLst/>
        </a:prstGeom>
      </xdr:spPr>
    </xdr:pic>
    <xdr:clientData/>
  </xdr:twoCellAnchor>
  <xdr:twoCellAnchor editAs="oneCell">
    <xdr:from>
      <xdr:col>49</xdr:col>
      <xdr:colOff>378796</xdr:colOff>
      <xdr:row>76</xdr:row>
      <xdr:rowOff>101025</xdr:rowOff>
    </xdr:from>
    <xdr:to>
      <xdr:col>55</xdr:col>
      <xdr:colOff>556686</xdr:colOff>
      <xdr:row>85</xdr:row>
      <xdr:rowOff>65417</xdr:rowOff>
    </xdr:to>
    <xdr:pic>
      <xdr:nvPicPr>
        <xdr:cNvPr id="12" name="Picture 11">
          <a:extLst>
            <a:ext uri="{FF2B5EF4-FFF2-40B4-BE49-F238E27FC236}">
              <a16:creationId xmlns:a16="http://schemas.microsoft.com/office/drawing/2014/main" id="{A2BA5443-AAE8-42C5-B128-C589F65D602C}"/>
            </a:ext>
          </a:extLst>
        </xdr:cNvPr>
        <xdr:cNvPicPr>
          <a:picLocks noChangeAspect="1"/>
        </xdr:cNvPicPr>
      </xdr:nvPicPr>
      <xdr:blipFill>
        <a:blip xmlns:r="http://schemas.openxmlformats.org/officeDocument/2006/relationships" r:embed="rId5"/>
        <a:stretch>
          <a:fillRect/>
        </a:stretch>
      </xdr:blipFill>
      <xdr:spPr>
        <a:xfrm>
          <a:off x="35133430" y="14225903"/>
          <a:ext cx="3802036" cy="1637075"/>
        </a:xfrm>
        <a:prstGeom prst="rect">
          <a:avLst/>
        </a:prstGeom>
      </xdr:spPr>
    </xdr:pic>
    <xdr:clientData/>
  </xdr:twoCellAnchor>
  <xdr:twoCellAnchor editAs="oneCell">
    <xdr:from>
      <xdr:col>49</xdr:col>
      <xdr:colOff>479921</xdr:colOff>
      <xdr:row>55</xdr:row>
      <xdr:rowOff>1992</xdr:rowOff>
    </xdr:from>
    <xdr:to>
      <xdr:col>60</xdr:col>
      <xdr:colOff>262231</xdr:colOff>
      <xdr:row>76</xdr:row>
      <xdr:rowOff>10203</xdr:rowOff>
    </xdr:to>
    <xdr:pic>
      <xdr:nvPicPr>
        <xdr:cNvPr id="13" name="Picture 12">
          <a:extLst>
            <a:ext uri="{FF2B5EF4-FFF2-40B4-BE49-F238E27FC236}">
              <a16:creationId xmlns:a16="http://schemas.microsoft.com/office/drawing/2014/main" id="{D132A860-FF34-4C98-9AE7-007FC50718B0}"/>
            </a:ext>
          </a:extLst>
        </xdr:cNvPr>
        <xdr:cNvPicPr>
          <a:picLocks noChangeAspect="1"/>
        </xdr:cNvPicPr>
      </xdr:nvPicPr>
      <xdr:blipFill>
        <a:blip xmlns:r="http://schemas.openxmlformats.org/officeDocument/2006/relationships" r:embed="rId6"/>
        <a:stretch>
          <a:fillRect/>
        </a:stretch>
      </xdr:blipFill>
      <xdr:spPr>
        <a:xfrm>
          <a:off x="35234555" y="10223943"/>
          <a:ext cx="6426578" cy="3911138"/>
        </a:xfrm>
        <a:prstGeom prst="rect">
          <a:avLst/>
        </a:prstGeom>
      </xdr:spPr>
    </xdr:pic>
    <xdr:clientData/>
  </xdr:twoCellAnchor>
  <xdr:twoCellAnchor editAs="oneCell">
    <xdr:from>
      <xdr:col>56</xdr:col>
      <xdr:colOff>336961</xdr:colOff>
      <xdr:row>76</xdr:row>
      <xdr:rowOff>101893</xdr:rowOff>
    </xdr:from>
    <xdr:to>
      <xdr:col>66</xdr:col>
      <xdr:colOff>412130</xdr:colOff>
      <xdr:row>92</xdr:row>
      <xdr:rowOff>30183</xdr:rowOff>
    </xdr:to>
    <xdr:pic>
      <xdr:nvPicPr>
        <xdr:cNvPr id="14" name="Picture 13">
          <a:extLst>
            <a:ext uri="{FF2B5EF4-FFF2-40B4-BE49-F238E27FC236}">
              <a16:creationId xmlns:a16="http://schemas.microsoft.com/office/drawing/2014/main" id="{2D1FE16D-87E8-423A-9278-DF924F4ABC23}"/>
            </a:ext>
          </a:extLst>
        </xdr:cNvPr>
        <xdr:cNvPicPr>
          <a:picLocks noChangeAspect="1"/>
        </xdr:cNvPicPr>
      </xdr:nvPicPr>
      <xdr:blipFill>
        <a:blip xmlns:r="http://schemas.openxmlformats.org/officeDocument/2006/relationships" r:embed="rId7"/>
        <a:stretch>
          <a:fillRect/>
        </a:stretch>
      </xdr:blipFill>
      <xdr:spPr>
        <a:xfrm>
          <a:off x="39319766" y="14226771"/>
          <a:ext cx="6115413" cy="2917436"/>
        </a:xfrm>
        <a:prstGeom prst="rect">
          <a:avLst/>
        </a:prstGeom>
      </xdr:spPr>
    </xdr:pic>
    <xdr:clientData/>
  </xdr:twoCellAnchor>
  <xdr:twoCellAnchor editAs="oneCell">
    <xdr:from>
      <xdr:col>40</xdr:col>
      <xdr:colOff>143816</xdr:colOff>
      <xdr:row>56</xdr:row>
      <xdr:rowOff>15488</xdr:rowOff>
    </xdr:from>
    <xdr:to>
      <xdr:col>43</xdr:col>
      <xdr:colOff>77622</xdr:colOff>
      <xdr:row>58</xdr:row>
      <xdr:rowOff>163895</xdr:rowOff>
    </xdr:to>
    <xdr:pic>
      <xdr:nvPicPr>
        <xdr:cNvPr id="15" name="Picture 14">
          <a:extLst>
            <a:ext uri="{FF2B5EF4-FFF2-40B4-BE49-F238E27FC236}">
              <a16:creationId xmlns:a16="http://schemas.microsoft.com/office/drawing/2014/main" id="{75BD6F35-FA91-45BD-ABAC-5D60D0000280}"/>
            </a:ext>
          </a:extLst>
        </xdr:cNvPr>
        <xdr:cNvPicPr>
          <a:picLocks noChangeAspect="1"/>
        </xdr:cNvPicPr>
      </xdr:nvPicPr>
      <xdr:blipFill>
        <a:blip xmlns:r="http://schemas.openxmlformats.org/officeDocument/2006/relationships" r:embed="rId8"/>
        <a:stretch>
          <a:fillRect/>
        </a:stretch>
      </xdr:blipFill>
      <xdr:spPr>
        <a:xfrm>
          <a:off x="29584725" y="10360215"/>
          <a:ext cx="1769533" cy="517862"/>
        </a:xfrm>
        <a:prstGeom prst="rect">
          <a:avLst/>
        </a:prstGeom>
      </xdr:spPr>
    </xdr:pic>
    <xdr:clientData/>
  </xdr:twoCellAnchor>
  <xdr:twoCellAnchor>
    <xdr:from>
      <xdr:col>20</xdr:col>
      <xdr:colOff>29427</xdr:colOff>
      <xdr:row>61</xdr:row>
      <xdr:rowOff>153949</xdr:rowOff>
    </xdr:from>
    <xdr:to>
      <xdr:col>27</xdr:col>
      <xdr:colOff>326792</xdr:colOff>
      <xdr:row>76</xdr:row>
      <xdr:rowOff>109344</xdr:rowOff>
    </xdr:to>
    <xdr:graphicFrame macro="">
      <xdr:nvGraphicFramePr>
        <xdr:cNvPr id="4" name="Chart 3">
          <a:extLst>
            <a:ext uri="{FF2B5EF4-FFF2-40B4-BE49-F238E27FC236}">
              <a16:creationId xmlns:a16="http://schemas.microsoft.com/office/drawing/2014/main" id="{EAB2FC88-A513-AECD-F28B-07D95D7D97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215281</xdr:colOff>
      <xdr:row>99</xdr:row>
      <xdr:rowOff>45534</xdr:rowOff>
    </xdr:from>
    <xdr:to>
      <xdr:col>26</xdr:col>
      <xdr:colOff>497159</xdr:colOff>
      <xdr:row>114</xdr:row>
      <xdr:rowOff>929</xdr:rowOff>
    </xdr:to>
    <xdr:graphicFrame macro="">
      <xdr:nvGraphicFramePr>
        <xdr:cNvPr id="5" name="Chart 4">
          <a:extLst>
            <a:ext uri="{FF2B5EF4-FFF2-40B4-BE49-F238E27FC236}">
              <a16:creationId xmlns:a16="http://schemas.microsoft.com/office/drawing/2014/main" id="{CFD10C52-90A2-A328-7CC2-2F9FAF57E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123825</xdr:colOff>
      <xdr:row>89</xdr:row>
      <xdr:rowOff>520700</xdr:rowOff>
    </xdr:from>
    <xdr:to>
      <xdr:col>19</xdr:col>
      <xdr:colOff>428625</xdr:colOff>
      <xdr:row>104</xdr:row>
      <xdr:rowOff>133350</xdr:rowOff>
    </xdr:to>
    <xdr:graphicFrame macro="">
      <xdr:nvGraphicFramePr>
        <xdr:cNvPr id="5" name="Chart 4">
          <a:extLst>
            <a:ext uri="{FF2B5EF4-FFF2-40B4-BE49-F238E27FC236}">
              <a16:creationId xmlns:a16="http://schemas.microsoft.com/office/drawing/2014/main" id="{1413EBEF-2FAC-60BF-1427-0A8FCAC88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24</xdr:col>
      <xdr:colOff>0</xdr:colOff>
      <xdr:row>139</xdr:row>
      <xdr:rowOff>39328</xdr:rowOff>
    </xdr:from>
    <xdr:to>
      <xdr:col>26</xdr:col>
      <xdr:colOff>323825</xdr:colOff>
      <xdr:row>141</xdr:row>
      <xdr:rowOff>82394</xdr:rowOff>
    </xdr:to>
    <xdr:pic>
      <xdr:nvPicPr>
        <xdr:cNvPr id="4" name="Picture 3">
          <a:extLst>
            <a:ext uri="{FF2B5EF4-FFF2-40B4-BE49-F238E27FC236}">
              <a16:creationId xmlns:a16="http://schemas.microsoft.com/office/drawing/2014/main" id="{794099A9-9973-4656-9E3A-DF0380313D7F}"/>
            </a:ext>
          </a:extLst>
        </xdr:cNvPr>
        <xdr:cNvPicPr>
          <a:picLocks noChangeAspect="1"/>
        </xdr:cNvPicPr>
      </xdr:nvPicPr>
      <xdr:blipFill>
        <a:blip xmlns:r="http://schemas.openxmlformats.org/officeDocument/2006/relationships" r:embed="rId1"/>
        <a:stretch>
          <a:fillRect/>
        </a:stretch>
      </xdr:blipFill>
      <xdr:spPr>
        <a:xfrm>
          <a:off x="17943286" y="25257899"/>
          <a:ext cx="1539396" cy="405923"/>
        </a:xfrm>
        <a:prstGeom prst="rect">
          <a:avLst/>
        </a:prstGeom>
      </xdr:spPr>
    </xdr:pic>
    <xdr:clientData/>
  </xdr:twoCellAnchor>
  <xdr:twoCellAnchor editAs="oneCell">
    <xdr:from>
      <xdr:col>24</xdr:col>
      <xdr:colOff>167900</xdr:colOff>
      <xdr:row>142</xdr:row>
      <xdr:rowOff>17832</xdr:rowOff>
    </xdr:from>
    <xdr:to>
      <xdr:col>26</xdr:col>
      <xdr:colOff>467859</xdr:colOff>
      <xdr:row>144</xdr:row>
      <xdr:rowOff>110650</xdr:rowOff>
    </xdr:to>
    <xdr:pic>
      <xdr:nvPicPr>
        <xdr:cNvPr id="5" name="Picture 4">
          <a:extLst>
            <a:ext uri="{FF2B5EF4-FFF2-40B4-BE49-F238E27FC236}">
              <a16:creationId xmlns:a16="http://schemas.microsoft.com/office/drawing/2014/main" id="{E59C53C6-BA07-4EFF-B6BE-42BC006123B6}"/>
            </a:ext>
          </a:extLst>
        </xdr:cNvPr>
        <xdr:cNvPicPr>
          <a:picLocks noChangeAspect="1"/>
        </xdr:cNvPicPr>
      </xdr:nvPicPr>
      <xdr:blipFill>
        <a:blip xmlns:r="http://schemas.openxmlformats.org/officeDocument/2006/relationships" r:embed="rId2"/>
        <a:stretch>
          <a:fillRect/>
        </a:stretch>
      </xdr:blipFill>
      <xdr:spPr>
        <a:xfrm>
          <a:off x="18111186" y="25780689"/>
          <a:ext cx="1515530" cy="455676"/>
        </a:xfrm>
        <a:prstGeom prst="rect">
          <a:avLst/>
        </a:prstGeom>
      </xdr:spPr>
    </xdr:pic>
    <xdr:clientData/>
  </xdr:twoCellAnchor>
  <xdr:twoCellAnchor editAs="oneCell">
    <xdr:from>
      <xdr:col>24</xdr:col>
      <xdr:colOff>9164</xdr:colOff>
      <xdr:row>145</xdr:row>
      <xdr:rowOff>98035</xdr:rowOff>
    </xdr:from>
    <xdr:to>
      <xdr:col>28</xdr:col>
      <xdr:colOff>796114</xdr:colOff>
      <xdr:row>151</xdr:row>
      <xdr:rowOff>117520</xdr:rowOff>
    </xdr:to>
    <xdr:pic>
      <xdr:nvPicPr>
        <xdr:cNvPr id="6" name="Picture 5">
          <a:extLst>
            <a:ext uri="{FF2B5EF4-FFF2-40B4-BE49-F238E27FC236}">
              <a16:creationId xmlns:a16="http://schemas.microsoft.com/office/drawing/2014/main" id="{6A50AD36-E6B8-4BA6-96A0-35E7B6DF2A94}"/>
            </a:ext>
          </a:extLst>
        </xdr:cNvPr>
        <xdr:cNvPicPr>
          <a:picLocks noChangeAspect="1"/>
        </xdr:cNvPicPr>
      </xdr:nvPicPr>
      <xdr:blipFill>
        <a:blip xmlns:r="http://schemas.openxmlformats.org/officeDocument/2006/relationships" r:embed="rId3"/>
        <a:stretch>
          <a:fillRect/>
        </a:stretch>
      </xdr:blipFill>
      <xdr:spPr>
        <a:xfrm>
          <a:off x="17952450" y="26405178"/>
          <a:ext cx="4413920" cy="1108057"/>
        </a:xfrm>
        <a:prstGeom prst="rect">
          <a:avLst/>
        </a:prstGeom>
      </xdr:spPr>
    </xdr:pic>
    <xdr:clientData/>
  </xdr:twoCellAnchor>
  <xdr:twoCellAnchor editAs="oneCell">
    <xdr:from>
      <xdr:col>33</xdr:col>
      <xdr:colOff>115287</xdr:colOff>
      <xdr:row>138</xdr:row>
      <xdr:rowOff>112409</xdr:rowOff>
    </xdr:from>
    <xdr:to>
      <xdr:col>40</xdr:col>
      <xdr:colOff>389146</xdr:colOff>
      <xdr:row>163</xdr:row>
      <xdr:rowOff>124596</xdr:rowOff>
    </xdr:to>
    <xdr:pic>
      <xdr:nvPicPr>
        <xdr:cNvPr id="7" name="Picture 6">
          <a:extLst>
            <a:ext uri="{FF2B5EF4-FFF2-40B4-BE49-F238E27FC236}">
              <a16:creationId xmlns:a16="http://schemas.microsoft.com/office/drawing/2014/main" id="{E17E9DC6-6188-45AD-9351-7900C9792E60}"/>
            </a:ext>
          </a:extLst>
        </xdr:cNvPr>
        <xdr:cNvPicPr>
          <a:picLocks noChangeAspect="1"/>
        </xdr:cNvPicPr>
      </xdr:nvPicPr>
      <xdr:blipFill>
        <a:blip xmlns:r="http://schemas.openxmlformats.org/officeDocument/2006/relationships" r:embed="rId4"/>
        <a:stretch>
          <a:fillRect/>
        </a:stretch>
      </xdr:blipFill>
      <xdr:spPr>
        <a:xfrm>
          <a:off x="23528644" y="25149552"/>
          <a:ext cx="4528359" cy="4547901"/>
        </a:xfrm>
        <a:prstGeom prst="rect">
          <a:avLst/>
        </a:prstGeom>
      </xdr:spPr>
    </xdr:pic>
    <xdr:clientData/>
  </xdr:twoCellAnchor>
  <xdr:twoCellAnchor editAs="oneCell">
    <xdr:from>
      <xdr:col>42</xdr:col>
      <xdr:colOff>236924</xdr:colOff>
      <xdr:row>155</xdr:row>
      <xdr:rowOff>168306</xdr:rowOff>
    </xdr:from>
    <xdr:to>
      <xdr:col>48</xdr:col>
      <xdr:colOff>439554</xdr:colOff>
      <xdr:row>164</xdr:row>
      <xdr:rowOff>162385</xdr:rowOff>
    </xdr:to>
    <xdr:pic>
      <xdr:nvPicPr>
        <xdr:cNvPr id="8" name="Picture 7">
          <a:extLst>
            <a:ext uri="{FF2B5EF4-FFF2-40B4-BE49-F238E27FC236}">
              <a16:creationId xmlns:a16="http://schemas.microsoft.com/office/drawing/2014/main" id="{15706CEE-10FC-453F-B729-03235F0DDEE5}"/>
            </a:ext>
          </a:extLst>
        </xdr:cNvPr>
        <xdr:cNvPicPr>
          <a:picLocks noChangeAspect="1"/>
        </xdr:cNvPicPr>
      </xdr:nvPicPr>
      <xdr:blipFill>
        <a:blip xmlns:r="http://schemas.openxmlformats.org/officeDocument/2006/relationships" r:embed="rId5"/>
        <a:stretch>
          <a:fillRect/>
        </a:stretch>
      </xdr:blipFill>
      <xdr:spPr>
        <a:xfrm>
          <a:off x="29120353" y="28289735"/>
          <a:ext cx="3849344" cy="1626937"/>
        </a:xfrm>
        <a:prstGeom prst="rect">
          <a:avLst/>
        </a:prstGeom>
      </xdr:spPr>
    </xdr:pic>
    <xdr:clientData/>
  </xdr:twoCellAnchor>
  <xdr:twoCellAnchor editAs="oneCell">
    <xdr:from>
      <xdr:col>42</xdr:col>
      <xdr:colOff>338049</xdr:colOff>
      <xdr:row>134</xdr:row>
      <xdr:rowOff>0</xdr:rowOff>
    </xdr:from>
    <xdr:to>
      <xdr:col>53</xdr:col>
      <xdr:colOff>165717</xdr:colOff>
      <xdr:row>155</xdr:row>
      <xdr:rowOff>62543</xdr:rowOff>
    </xdr:to>
    <xdr:pic>
      <xdr:nvPicPr>
        <xdr:cNvPr id="9" name="Picture 8">
          <a:extLst>
            <a:ext uri="{FF2B5EF4-FFF2-40B4-BE49-F238E27FC236}">
              <a16:creationId xmlns:a16="http://schemas.microsoft.com/office/drawing/2014/main" id="{31E33E89-8A50-4C0F-ADFC-95DECC26C92D}"/>
            </a:ext>
          </a:extLst>
        </xdr:cNvPr>
        <xdr:cNvPicPr>
          <a:picLocks noChangeAspect="1"/>
        </xdr:cNvPicPr>
      </xdr:nvPicPr>
      <xdr:blipFill>
        <a:blip xmlns:r="http://schemas.openxmlformats.org/officeDocument/2006/relationships" r:embed="rId6"/>
        <a:stretch>
          <a:fillRect/>
        </a:stretch>
      </xdr:blipFill>
      <xdr:spPr>
        <a:xfrm>
          <a:off x="29221478" y="24311429"/>
          <a:ext cx="6513310" cy="3887484"/>
        </a:xfrm>
        <a:prstGeom prst="rect">
          <a:avLst/>
        </a:prstGeom>
      </xdr:spPr>
    </xdr:pic>
    <xdr:clientData/>
  </xdr:twoCellAnchor>
  <xdr:twoCellAnchor editAs="oneCell">
    <xdr:from>
      <xdr:col>49</xdr:col>
      <xdr:colOff>223953</xdr:colOff>
      <xdr:row>155</xdr:row>
      <xdr:rowOff>169174</xdr:rowOff>
    </xdr:from>
    <xdr:to>
      <xdr:col>59</xdr:col>
      <xdr:colOff>340356</xdr:colOff>
      <xdr:row>172</xdr:row>
      <xdr:rowOff>3450</xdr:rowOff>
    </xdr:to>
    <xdr:pic>
      <xdr:nvPicPr>
        <xdr:cNvPr id="10" name="Picture 9">
          <a:extLst>
            <a:ext uri="{FF2B5EF4-FFF2-40B4-BE49-F238E27FC236}">
              <a16:creationId xmlns:a16="http://schemas.microsoft.com/office/drawing/2014/main" id="{A75BEF8E-FAD8-4A30-87EE-AF4105C3C18B}"/>
            </a:ext>
          </a:extLst>
        </xdr:cNvPr>
        <xdr:cNvPicPr>
          <a:picLocks noChangeAspect="1"/>
        </xdr:cNvPicPr>
      </xdr:nvPicPr>
      <xdr:blipFill>
        <a:blip xmlns:r="http://schemas.openxmlformats.org/officeDocument/2006/relationships" r:embed="rId7"/>
        <a:stretch>
          <a:fillRect/>
        </a:stretch>
      </xdr:blipFill>
      <xdr:spPr>
        <a:xfrm>
          <a:off x="33361882" y="28290603"/>
          <a:ext cx="6194259" cy="2918562"/>
        </a:xfrm>
        <a:prstGeom prst="rect">
          <a:avLst/>
        </a:prstGeom>
      </xdr:spPr>
    </xdr:pic>
    <xdr:clientData/>
  </xdr:twoCellAnchor>
  <xdr:twoCellAnchor editAs="oneCell">
    <xdr:from>
      <xdr:col>32</xdr:col>
      <xdr:colOff>572620</xdr:colOff>
      <xdr:row>135</xdr:row>
      <xdr:rowOff>16795</xdr:rowOff>
    </xdr:from>
    <xdr:to>
      <xdr:col>35</xdr:col>
      <xdr:colOff>518795</xdr:colOff>
      <xdr:row>137</xdr:row>
      <xdr:rowOff>171799</xdr:rowOff>
    </xdr:to>
    <xdr:pic>
      <xdr:nvPicPr>
        <xdr:cNvPr id="11" name="Picture 10">
          <a:extLst>
            <a:ext uri="{FF2B5EF4-FFF2-40B4-BE49-F238E27FC236}">
              <a16:creationId xmlns:a16="http://schemas.microsoft.com/office/drawing/2014/main" id="{030B2BE5-F6B2-4A4D-A495-E65E61C204A2}"/>
            </a:ext>
          </a:extLst>
        </xdr:cNvPr>
        <xdr:cNvPicPr>
          <a:picLocks noChangeAspect="1"/>
        </xdr:cNvPicPr>
      </xdr:nvPicPr>
      <xdr:blipFill>
        <a:blip xmlns:r="http://schemas.openxmlformats.org/officeDocument/2006/relationships" r:embed="rId8"/>
        <a:stretch>
          <a:fillRect/>
        </a:stretch>
      </xdr:blipFill>
      <xdr:spPr>
        <a:xfrm>
          <a:off x="23378191" y="24509652"/>
          <a:ext cx="1769533" cy="51786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17</xdr:col>
      <xdr:colOff>509923</xdr:colOff>
      <xdr:row>65</xdr:row>
      <xdr:rowOff>57727</xdr:rowOff>
    </xdr:from>
    <xdr:to>
      <xdr:col>22</xdr:col>
      <xdr:colOff>57474</xdr:colOff>
      <xdr:row>70</xdr:row>
      <xdr:rowOff>7356</xdr:rowOff>
    </xdr:to>
    <xdr:pic>
      <xdr:nvPicPr>
        <xdr:cNvPr id="2" name="Picture 1">
          <a:extLst>
            <a:ext uri="{FF2B5EF4-FFF2-40B4-BE49-F238E27FC236}">
              <a16:creationId xmlns:a16="http://schemas.microsoft.com/office/drawing/2014/main" id="{BEE504B0-97DB-2BDA-38F5-E46F2ECF85B3}"/>
            </a:ext>
          </a:extLst>
        </xdr:cNvPr>
        <xdr:cNvPicPr>
          <a:picLocks noChangeAspect="1"/>
        </xdr:cNvPicPr>
      </xdr:nvPicPr>
      <xdr:blipFill>
        <a:blip xmlns:r="http://schemas.openxmlformats.org/officeDocument/2006/relationships" r:embed="rId1"/>
        <a:stretch>
          <a:fillRect/>
        </a:stretch>
      </xdr:blipFill>
      <xdr:spPr>
        <a:xfrm>
          <a:off x="13123332" y="11949545"/>
          <a:ext cx="2578233" cy="863644"/>
        </a:xfrm>
        <a:prstGeom prst="rect">
          <a:avLst/>
        </a:prstGeom>
      </xdr:spPr>
    </xdr:pic>
    <xdr:clientData/>
  </xdr:twoCellAnchor>
  <xdr:twoCellAnchor editAs="oneCell">
    <xdr:from>
      <xdr:col>17</xdr:col>
      <xdr:colOff>384848</xdr:colOff>
      <xdr:row>71</xdr:row>
      <xdr:rowOff>67348</xdr:rowOff>
    </xdr:from>
    <xdr:to>
      <xdr:col>23</xdr:col>
      <xdr:colOff>30017</xdr:colOff>
      <xdr:row>79</xdr:row>
      <xdr:rowOff>105832</xdr:rowOff>
    </xdr:to>
    <xdr:pic>
      <xdr:nvPicPr>
        <xdr:cNvPr id="3" name="Picture 2">
          <a:extLst>
            <a:ext uri="{FF2B5EF4-FFF2-40B4-BE49-F238E27FC236}">
              <a16:creationId xmlns:a16="http://schemas.microsoft.com/office/drawing/2014/main" id="{CF9DC818-0B9F-639D-522D-096739910E5C}"/>
            </a:ext>
          </a:extLst>
        </xdr:cNvPr>
        <xdr:cNvPicPr>
          <a:picLocks noChangeAspect="1"/>
        </xdr:cNvPicPr>
      </xdr:nvPicPr>
      <xdr:blipFill>
        <a:blip xmlns:r="http://schemas.openxmlformats.org/officeDocument/2006/relationships" r:embed="rId2"/>
        <a:stretch>
          <a:fillRect/>
        </a:stretch>
      </xdr:blipFill>
      <xdr:spPr>
        <a:xfrm>
          <a:off x="12998257" y="13055984"/>
          <a:ext cx="3281987" cy="1500909"/>
        </a:xfrm>
        <a:prstGeom prst="rect">
          <a:avLst/>
        </a:prstGeom>
      </xdr:spPr>
    </xdr:pic>
    <xdr:clientData/>
  </xdr:twoCellAnchor>
  <xdr:twoCellAnchor editAs="oneCell">
    <xdr:from>
      <xdr:col>17</xdr:col>
      <xdr:colOff>500303</xdr:colOff>
      <xdr:row>80</xdr:row>
      <xdr:rowOff>153939</xdr:rowOff>
    </xdr:from>
    <xdr:to>
      <xdr:col>25</xdr:col>
      <xdr:colOff>467116</xdr:colOff>
      <xdr:row>95</xdr:row>
      <xdr:rowOff>67349</xdr:rowOff>
    </xdr:to>
    <xdr:pic>
      <xdr:nvPicPr>
        <xdr:cNvPr id="4" name="Picture 3">
          <a:extLst>
            <a:ext uri="{FF2B5EF4-FFF2-40B4-BE49-F238E27FC236}">
              <a16:creationId xmlns:a16="http://schemas.microsoft.com/office/drawing/2014/main" id="{92DA99C9-4783-1F06-BA65-FA65F37FFD12}"/>
            </a:ext>
          </a:extLst>
        </xdr:cNvPr>
        <xdr:cNvPicPr>
          <a:picLocks noChangeAspect="1"/>
        </xdr:cNvPicPr>
      </xdr:nvPicPr>
      <xdr:blipFill>
        <a:blip xmlns:r="http://schemas.openxmlformats.org/officeDocument/2006/relationships" r:embed="rId3"/>
        <a:stretch>
          <a:fillRect/>
        </a:stretch>
      </xdr:blipFill>
      <xdr:spPr>
        <a:xfrm>
          <a:off x="13113712" y="14787803"/>
          <a:ext cx="4815904" cy="2655455"/>
        </a:xfrm>
        <a:prstGeom prst="rect">
          <a:avLst/>
        </a:prstGeom>
      </xdr:spPr>
    </xdr:pic>
    <xdr:clientData/>
  </xdr:twoCellAnchor>
  <xdr:twoCellAnchor editAs="oneCell">
    <xdr:from>
      <xdr:col>17</xdr:col>
      <xdr:colOff>442577</xdr:colOff>
      <xdr:row>96</xdr:row>
      <xdr:rowOff>9623</xdr:rowOff>
    </xdr:from>
    <xdr:to>
      <xdr:col>25</xdr:col>
      <xdr:colOff>529168</xdr:colOff>
      <xdr:row>101</xdr:row>
      <xdr:rowOff>157778</xdr:rowOff>
    </xdr:to>
    <xdr:pic>
      <xdr:nvPicPr>
        <xdr:cNvPr id="5" name="Picture 4">
          <a:extLst>
            <a:ext uri="{FF2B5EF4-FFF2-40B4-BE49-F238E27FC236}">
              <a16:creationId xmlns:a16="http://schemas.microsoft.com/office/drawing/2014/main" id="{071E151F-F4BA-8DD6-D0D1-403906C43098}"/>
            </a:ext>
          </a:extLst>
        </xdr:cNvPr>
        <xdr:cNvPicPr>
          <a:picLocks noChangeAspect="1"/>
        </xdr:cNvPicPr>
      </xdr:nvPicPr>
      <xdr:blipFill>
        <a:blip xmlns:r="http://schemas.openxmlformats.org/officeDocument/2006/relationships" r:embed="rId4"/>
        <a:stretch>
          <a:fillRect/>
        </a:stretch>
      </xdr:blipFill>
      <xdr:spPr>
        <a:xfrm>
          <a:off x="13055986" y="17568335"/>
          <a:ext cx="4935682" cy="1062170"/>
        </a:xfrm>
        <a:prstGeom prst="rect">
          <a:avLst/>
        </a:prstGeom>
      </xdr:spPr>
    </xdr:pic>
    <xdr:clientData/>
  </xdr:twoCellAnchor>
  <xdr:twoCellAnchor editAs="oneCell">
    <xdr:from>
      <xdr:col>26</xdr:col>
      <xdr:colOff>590437</xdr:colOff>
      <xdr:row>68</xdr:row>
      <xdr:rowOff>89122</xdr:rowOff>
    </xdr:from>
    <xdr:to>
      <xdr:col>32</xdr:col>
      <xdr:colOff>406801</xdr:colOff>
      <xdr:row>77</xdr:row>
      <xdr:rowOff>29383</xdr:rowOff>
    </xdr:to>
    <xdr:pic>
      <xdr:nvPicPr>
        <xdr:cNvPr id="6" name="Picture 5">
          <a:extLst>
            <a:ext uri="{FF2B5EF4-FFF2-40B4-BE49-F238E27FC236}">
              <a16:creationId xmlns:a16="http://schemas.microsoft.com/office/drawing/2014/main" id="{7F5CDA16-3FF6-24B1-3721-B37303106B8E}"/>
            </a:ext>
          </a:extLst>
        </xdr:cNvPr>
        <xdr:cNvPicPr>
          <a:picLocks noChangeAspect="1"/>
        </xdr:cNvPicPr>
      </xdr:nvPicPr>
      <xdr:blipFill>
        <a:blip xmlns:r="http://schemas.openxmlformats.org/officeDocument/2006/relationships" r:embed="rId5"/>
        <a:stretch>
          <a:fillRect/>
        </a:stretch>
      </xdr:blipFill>
      <xdr:spPr>
        <a:xfrm>
          <a:off x="18804911" y="12978508"/>
          <a:ext cx="3492679" cy="1644735"/>
        </a:xfrm>
        <a:prstGeom prst="rect">
          <a:avLst/>
        </a:prstGeom>
      </xdr:spPr>
    </xdr:pic>
    <xdr:clientData/>
  </xdr:twoCellAnchor>
  <xdr:twoCellAnchor editAs="oneCell">
    <xdr:from>
      <xdr:col>27</xdr:col>
      <xdr:colOff>33420</xdr:colOff>
      <xdr:row>80</xdr:row>
      <xdr:rowOff>33420</xdr:rowOff>
    </xdr:from>
    <xdr:to>
      <xdr:col>32</xdr:col>
      <xdr:colOff>208490</xdr:colOff>
      <xdr:row>89</xdr:row>
      <xdr:rowOff>87987</xdr:rowOff>
    </xdr:to>
    <xdr:pic>
      <xdr:nvPicPr>
        <xdr:cNvPr id="7" name="Picture 6">
          <a:extLst>
            <a:ext uri="{FF2B5EF4-FFF2-40B4-BE49-F238E27FC236}">
              <a16:creationId xmlns:a16="http://schemas.microsoft.com/office/drawing/2014/main" id="{02491E1E-F5DA-62BF-6C61-81BEDA3BC087}"/>
            </a:ext>
          </a:extLst>
        </xdr:cNvPr>
        <xdr:cNvPicPr>
          <a:picLocks noChangeAspect="1"/>
        </xdr:cNvPicPr>
      </xdr:nvPicPr>
      <xdr:blipFill>
        <a:blip xmlns:r="http://schemas.openxmlformats.org/officeDocument/2006/relationships" r:embed="rId6"/>
        <a:stretch>
          <a:fillRect/>
        </a:stretch>
      </xdr:blipFill>
      <xdr:spPr>
        <a:xfrm>
          <a:off x="18860613" y="15195438"/>
          <a:ext cx="3238666" cy="175904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V23"/>
  <sheetViews>
    <sheetView zoomScale="56" zoomScaleNormal="115" workbookViewId="0">
      <selection activeCell="E29" sqref="E29"/>
    </sheetView>
  </sheetViews>
  <sheetFormatPr defaultRowHeight="14.5" x14ac:dyDescent="0.35"/>
  <cols>
    <col min="1" max="1" width="20.26953125" customWidth="1"/>
    <col min="2" max="2" width="17.453125" customWidth="1"/>
    <col min="5" max="5" width="56.90625" bestFit="1" customWidth="1"/>
    <col min="6" max="6" width="55.08984375" bestFit="1" customWidth="1"/>
    <col min="7" max="7" width="43.7265625" customWidth="1"/>
    <col min="8" max="8" width="32.26953125" bestFit="1" customWidth="1"/>
    <col min="9" max="9" width="56.36328125" bestFit="1" customWidth="1"/>
    <col min="10" max="10" width="20.81640625" customWidth="1"/>
    <col min="11" max="11" width="21.1796875" bestFit="1" customWidth="1"/>
    <col min="12" max="12" width="44.26953125" customWidth="1"/>
    <col min="13" max="13" width="15.90625" bestFit="1" customWidth="1"/>
    <col min="14" max="14" width="22.81640625" customWidth="1"/>
    <col min="15" max="15" width="24.26953125" bestFit="1" customWidth="1"/>
    <col min="16" max="16" width="23.6328125" bestFit="1" customWidth="1"/>
    <col min="17" max="19" width="26" bestFit="1" customWidth="1"/>
    <col min="20" max="20" width="26.26953125" customWidth="1"/>
    <col min="21" max="21" width="49.7265625" customWidth="1"/>
    <col min="22" max="22" width="38.7265625" customWidth="1"/>
  </cols>
  <sheetData>
    <row r="2" spans="1:22" x14ac:dyDescent="0.35">
      <c r="A2" s="84" t="s">
        <v>22</v>
      </c>
      <c r="B2" s="84"/>
      <c r="C2" s="84"/>
      <c r="D2" s="84"/>
      <c r="E2" s="85" t="s">
        <v>29</v>
      </c>
      <c r="F2" s="86"/>
      <c r="G2" s="86"/>
      <c r="H2" s="86"/>
      <c r="I2" s="86"/>
      <c r="J2" s="86"/>
      <c r="K2" s="86"/>
      <c r="L2" s="87" t="s">
        <v>28</v>
      </c>
      <c r="M2" s="88"/>
      <c r="N2" s="88"/>
      <c r="O2" s="88"/>
      <c r="P2" s="88"/>
      <c r="Q2" s="88"/>
      <c r="R2" s="89" t="s">
        <v>37</v>
      </c>
      <c r="S2" s="90"/>
      <c r="T2" s="90"/>
      <c r="U2" s="90"/>
      <c r="V2" s="82" t="s">
        <v>23</v>
      </c>
    </row>
    <row r="3" spans="1:22" x14ac:dyDescent="0.35">
      <c r="A3" s="1" t="s">
        <v>0</v>
      </c>
      <c r="B3" s="1" t="s">
        <v>1</v>
      </c>
      <c r="C3" s="1" t="s">
        <v>2</v>
      </c>
      <c r="D3" s="1" t="s">
        <v>3</v>
      </c>
      <c r="E3" s="7" t="s">
        <v>39</v>
      </c>
      <c r="F3" s="7" t="s">
        <v>19</v>
      </c>
      <c r="G3" s="7" t="s">
        <v>24</v>
      </c>
      <c r="H3" s="7" t="s">
        <v>20</v>
      </c>
      <c r="I3" s="7" t="s">
        <v>25</v>
      </c>
      <c r="J3" s="7" t="s">
        <v>27</v>
      </c>
      <c r="K3" s="7" t="s">
        <v>14</v>
      </c>
      <c r="L3" s="7" t="s">
        <v>26</v>
      </c>
      <c r="M3" s="7" t="s">
        <v>15</v>
      </c>
      <c r="N3" s="7" t="s">
        <v>21</v>
      </c>
      <c r="O3" s="7" t="s">
        <v>16</v>
      </c>
      <c r="P3" s="7" t="s">
        <v>17</v>
      </c>
      <c r="Q3" s="7" t="s">
        <v>18</v>
      </c>
      <c r="R3" s="6" t="s">
        <v>30</v>
      </c>
      <c r="S3" s="9" t="s">
        <v>31</v>
      </c>
      <c r="T3" s="10" t="s">
        <v>32</v>
      </c>
      <c r="U3" s="11" t="s">
        <v>33</v>
      </c>
      <c r="V3" s="83"/>
    </row>
    <row r="4" spans="1:22" x14ac:dyDescent="0.35">
      <c r="A4" s="2" t="s">
        <v>4</v>
      </c>
      <c r="B4" s="2" t="s">
        <v>9</v>
      </c>
      <c r="C4" s="3">
        <v>7</v>
      </c>
      <c r="D4" s="3">
        <v>3.4</v>
      </c>
      <c r="E4" s="8">
        <v>1</v>
      </c>
      <c r="F4" s="8">
        <v>3</v>
      </c>
      <c r="G4" s="8">
        <v>3</v>
      </c>
      <c r="H4" s="8">
        <v>3</v>
      </c>
      <c r="I4" s="8">
        <v>3</v>
      </c>
      <c r="J4" s="8">
        <v>3</v>
      </c>
      <c r="K4" s="8">
        <v>2</v>
      </c>
      <c r="L4" s="8">
        <v>2</v>
      </c>
      <c r="M4" s="8">
        <v>3</v>
      </c>
      <c r="N4" s="8">
        <v>2</v>
      </c>
      <c r="O4" s="8">
        <v>2</v>
      </c>
      <c r="P4" s="8">
        <v>3</v>
      </c>
      <c r="Q4" s="8">
        <v>2</v>
      </c>
      <c r="R4" s="4">
        <v>2</v>
      </c>
      <c r="S4" s="4">
        <v>3</v>
      </c>
      <c r="T4" s="4">
        <v>3</v>
      </c>
      <c r="U4" s="4">
        <v>2</v>
      </c>
      <c r="V4" s="4">
        <v>2</v>
      </c>
    </row>
    <row r="5" spans="1:22" x14ac:dyDescent="0.35">
      <c r="A5" s="2" t="s">
        <v>5</v>
      </c>
      <c r="B5" s="2" t="s">
        <v>10</v>
      </c>
      <c r="C5" s="3">
        <v>7</v>
      </c>
      <c r="D5" s="3">
        <v>3.7</v>
      </c>
      <c r="E5" s="8">
        <v>3</v>
      </c>
      <c r="F5" s="8">
        <v>3</v>
      </c>
      <c r="G5" s="8">
        <v>2</v>
      </c>
      <c r="H5" s="8">
        <v>2</v>
      </c>
      <c r="I5" s="8">
        <v>3</v>
      </c>
      <c r="J5" s="8">
        <v>2</v>
      </c>
      <c r="K5" s="8">
        <v>3</v>
      </c>
      <c r="L5" s="8">
        <v>3</v>
      </c>
      <c r="M5" s="8">
        <v>1</v>
      </c>
      <c r="N5" s="8">
        <v>3</v>
      </c>
      <c r="O5" s="8">
        <v>3</v>
      </c>
      <c r="P5" s="8">
        <v>3</v>
      </c>
      <c r="Q5" s="8">
        <v>3</v>
      </c>
      <c r="R5" s="4">
        <v>3</v>
      </c>
      <c r="S5" s="4">
        <v>3</v>
      </c>
      <c r="T5" s="4">
        <v>3</v>
      </c>
      <c r="U5" s="4">
        <v>3</v>
      </c>
      <c r="V5" s="4">
        <v>1</v>
      </c>
    </row>
    <row r="6" spans="1:22" x14ac:dyDescent="0.35">
      <c r="A6" s="2" t="s">
        <v>6</v>
      </c>
      <c r="B6" s="2" t="s">
        <v>11</v>
      </c>
      <c r="C6" s="3">
        <v>7</v>
      </c>
      <c r="D6" s="3">
        <v>3.3</v>
      </c>
      <c r="E6" s="8">
        <v>2</v>
      </c>
      <c r="F6" s="8">
        <v>3</v>
      </c>
      <c r="G6" s="8">
        <v>2</v>
      </c>
      <c r="H6" s="8">
        <v>2</v>
      </c>
      <c r="I6" s="8">
        <v>2</v>
      </c>
      <c r="J6" s="8">
        <v>1</v>
      </c>
      <c r="K6" s="8">
        <v>2</v>
      </c>
      <c r="L6" s="8">
        <v>3</v>
      </c>
      <c r="M6" s="8">
        <v>3</v>
      </c>
      <c r="N6" s="8">
        <v>3</v>
      </c>
      <c r="O6" s="8">
        <v>3</v>
      </c>
      <c r="P6" s="8">
        <v>2</v>
      </c>
      <c r="Q6" s="8">
        <v>1</v>
      </c>
      <c r="R6" s="4">
        <v>1</v>
      </c>
      <c r="S6" s="4">
        <v>2</v>
      </c>
      <c r="T6" s="4">
        <v>2</v>
      </c>
      <c r="U6" s="4">
        <v>3</v>
      </c>
      <c r="V6" s="4">
        <v>0</v>
      </c>
    </row>
    <row r="7" spans="1:22" x14ac:dyDescent="0.35">
      <c r="A7" s="2" t="s">
        <v>7</v>
      </c>
      <c r="B7" s="2" t="s">
        <v>12</v>
      </c>
      <c r="C7" s="3">
        <v>7</v>
      </c>
      <c r="D7" s="3">
        <v>3.8</v>
      </c>
      <c r="E7" s="8">
        <v>3</v>
      </c>
      <c r="F7" s="8">
        <v>2</v>
      </c>
      <c r="G7" s="8">
        <v>2</v>
      </c>
      <c r="H7" s="8">
        <v>3</v>
      </c>
      <c r="I7" s="8">
        <v>1</v>
      </c>
      <c r="J7" s="8">
        <v>2</v>
      </c>
      <c r="K7" s="8">
        <v>3</v>
      </c>
      <c r="L7" s="8">
        <v>2</v>
      </c>
      <c r="M7" s="8">
        <v>2</v>
      </c>
      <c r="N7" s="8">
        <v>2</v>
      </c>
      <c r="O7" s="8">
        <v>1</v>
      </c>
      <c r="P7" s="8">
        <v>3</v>
      </c>
      <c r="Q7" s="8">
        <v>3</v>
      </c>
      <c r="R7" s="4">
        <v>3</v>
      </c>
      <c r="S7" s="4">
        <v>3</v>
      </c>
      <c r="T7" s="4">
        <v>3</v>
      </c>
      <c r="U7" s="4">
        <v>2</v>
      </c>
      <c r="V7" s="4">
        <v>3</v>
      </c>
    </row>
    <row r="8" spans="1:22" x14ac:dyDescent="0.35">
      <c r="A8" s="2" t="s">
        <v>8</v>
      </c>
      <c r="B8" s="2" t="s">
        <v>13</v>
      </c>
      <c r="C8" s="3">
        <v>5</v>
      </c>
      <c r="D8" s="3">
        <v>3.5</v>
      </c>
      <c r="E8" s="8">
        <v>2</v>
      </c>
      <c r="F8" s="8">
        <v>3</v>
      </c>
      <c r="G8" s="8">
        <v>3</v>
      </c>
      <c r="H8" s="8">
        <v>1</v>
      </c>
      <c r="I8" s="8">
        <v>2</v>
      </c>
      <c r="J8" s="8">
        <v>3</v>
      </c>
      <c r="K8" s="8">
        <v>3</v>
      </c>
      <c r="L8" s="8">
        <v>2</v>
      </c>
      <c r="M8" s="8">
        <v>1</v>
      </c>
      <c r="N8" s="8">
        <v>2</v>
      </c>
      <c r="O8" s="8">
        <v>1</v>
      </c>
      <c r="P8" s="8">
        <v>3</v>
      </c>
      <c r="Q8" s="8">
        <v>2</v>
      </c>
      <c r="R8" s="4">
        <v>2</v>
      </c>
      <c r="S8" s="4">
        <v>1</v>
      </c>
      <c r="T8" s="4">
        <v>1</v>
      </c>
      <c r="U8" s="4">
        <v>2</v>
      </c>
      <c r="V8" s="4">
        <v>1</v>
      </c>
    </row>
    <row r="10" spans="1:22" ht="15" thickBot="1" x14ac:dyDescent="0.4">
      <c r="A10" s="5" t="s">
        <v>34</v>
      </c>
    </row>
    <row r="11" spans="1:22" ht="31.5" customHeight="1" x14ac:dyDescent="0.35">
      <c r="A11" s="73" t="s">
        <v>35</v>
      </c>
      <c r="B11" s="74"/>
      <c r="C11" s="74"/>
      <c r="D11" s="74"/>
      <c r="E11" s="74"/>
      <c r="F11" s="74"/>
      <c r="G11" s="74"/>
      <c r="H11" s="74"/>
      <c r="I11" s="75"/>
    </row>
    <row r="12" spans="1:22" ht="36.75" customHeight="1" x14ac:dyDescent="0.35">
      <c r="A12" s="76" t="s">
        <v>286</v>
      </c>
      <c r="B12" s="77"/>
      <c r="C12" s="77"/>
      <c r="D12" s="77"/>
      <c r="E12" s="77"/>
      <c r="F12" s="77"/>
      <c r="G12" s="77"/>
      <c r="H12" s="77"/>
      <c r="I12" s="78"/>
    </row>
    <row r="13" spans="1:22" ht="47.25" customHeight="1" x14ac:dyDescent="0.35">
      <c r="A13" s="76" t="s">
        <v>38</v>
      </c>
      <c r="B13" s="77"/>
      <c r="C13" s="77"/>
      <c r="D13" s="77"/>
      <c r="E13" s="77"/>
      <c r="F13" s="77"/>
      <c r="G13" s="77"/>
      <c r="H13" s="77"/>
      <c r="I13" s="78"/>
    </row>
    <row r="14" spans="1:22" ht="21" customHeight="1" thickBot="1" x14ac:dyDescent="0.4">
      <c r="A14" s="79" t="s">
        <v>36</v>
      </c>
      <c r="B14" s="80"/>
      <c r="C14" s="80"/>
      <c r="D14" s="80"/>
      <c r="E14" s="80"/>
      <c r="F14" s="80"/>
      <c r="G14" s="80"/>
      <c r="H14" s="80"/>
      <c r="I14" s="81"/>
    </row>
    <row r="17" spans="1:22" x14ac:dyDescent="0.35">
      <c r="A17" s="84" t="s">
        <v>22</v>
      </c>
      <c r="B17" s="84"/>
      <c r="C17" s="84"/>
      <c r="D17" s="84"/>
      <c r="E17" s="85" t="s">
        <v>29</v>
      </c>
      <c r="F17" s="92"/>
      <c r="G17" s="92"/>
      <c r="H17" s="92"/>
      <c r="I17" s="93" t="s">
        <v>28</v>
      </c>
      <c r="J17" s="93"/>
      <c r="K17" s="93"/>
      <c r="L17" s="93"/>
      <c r="M17" s="93"/>
      <c r="N17" s="94" t="s">
        <v>37</v>
      </c>
      <c r="O17" s="94"/>
      <c r="P17" s="94"/>
      <c r="Q17" s="95"/>
      <c r="R17" s="5"/>
      <c r="V17" s="91"/>
    </row>
    <row r="18" spans="1:22" x14ac:dyDescent="0.35">
      <c r="A18" s="1" t="s">
        <v>0</v>
      </c>
      <c r="B18" s="1" t="s">
        <v>1</v>
      </c>
      <c r="C18" s="1" t="s">
        <v>2</v>
      </c>
      <c r="D18" s="1" t="s">
        <v>3</v>
      </c>
      <c r="E18" s="7" t="s">
        <v>282</v>
      </c>
      <c r="F18" s="7" t="s">
        <v>283</v>
      </c>
      <c r="G18" s="7" t="s">
        <v>20</v>
      </c>
      <c r="H18" s="7" t="s">
        <v>14</v>
      </c>
      <c r="I18" s="7" t="s">
        <v>285</v>
      </c>
      <c r="J18" s="7" t="s">
        <v>21</v>
      </c>
      <c r="K18" s="7" t="s">
        <v>17</v>
      </c>
      <c r="L18" s="63" t="s">
        <v>18</v>
      </c>
      <c r="M18" s="6" t="s">
        <v>30</v>
      </c>
      <c r="N18" s="9" t="s">
        <v>284</v>
      </c>
      <c r="O18" s="10" t="s">
        <v>32</v>
      </c>
      <c r="P18" s="11" t="s">
        <v>33</v>
      </c>
      <c r="Q18" s="65"/>
      <c r="R18" s="62"/>
      <c r="S18" s="62"/>
      <c r="T18" s="62"/>
      <c r="U18" s="62"/>
      <c r="V18" s="91"/>
    </row>
    <row r="19" spans="1:22" x14ac:dyDescent="0.35">
      <c r="A19" s="2" t="s">
        <v>4</v>
      </c>
      <c r="B19" s="2" t="s">
        <v>9</v>
      </c>
      <c r="C19" s="3">
        <v>7</v>
      </c>
      <c r="D19" s="3">
        <v>3.4</v>
      </c>
      <c r="E19" s="8">
        <v>1</v>
      </c>
      <c r="F19" s="8">
        <v>3</v>
      </c>
      <c r="G19" s="8">
        <v>3</v>
      </c>
      <c r="H19" s="8">
        <v>2</v>
      </c>
      <c r="I19" s="8">
        <v>2</v>
      </c>
      <c r="J19" s="8">
        <v>2</v>
      </c>
      <c r="K19" s="8">
        <v>3</v>
      </c>
      <c r="L19" s="64">
        <v>2</v>
      </c>
      <c r="M19" s="4">
        <v>2</v>
      </c>
      <c r="N19" s="4">
        <v>3</v>
      </c>
      <c r="O19" s="4">
        <v>3</v>
      </c>
      <c r="P19" s="4">
        <v>2</v>
      </c>
      <c r="Q19" s="66"/>
      <c r="R19" s="30"/>
      <c r="S19" s="30"/>
      <c r="T19" s="30"/>
      <c r="U19" s="30"/>
      <c r="V19" s="30"/>
    </row>
    <row r="20" spans="1:22" x14ac:dyDescent="0.35">
      <c r="A20" s="2" t="s">
        <v>5</v>
      </c>
      <c r="B20" s="2" t="s">
        <v>10</v>
      </c>
      <c r="C20" s="3">
        <v>7</v>
      </c>
      <c r="D20" s="3">
        <v>3.7</v>
      </c>
      <c r="E20" s="8">
        <v>3</v>
      </c>
      <c r="F20" s="8">
        <v>2</v>
      </c>
      <c r="G20" s="8">
        <v>2</v>
      </c>
      <c r="H20" s="8">
        <v>3</v>
      </c>
      <c r="I20" s="8">
        <v>3</v>
      </c>
      <c r="J20" s="8">
        <v>3</v>
      </c>
      <c r="K20" s="8">
        <v>3</v>
      </c>
      <c r="L20" s="64">
        <v>3</v>
      </c>
      <c r="M20" s="4">
        <v>3</v>
      </c>
      <c r="N20" s="4">
        <v>3</v>
      </c>
      <c r="O20" s="4">
        <v>3</v>
      </c>
      <c r="P20" s="4">
        <v>3</v>
      </c>
      <c r="Q20" s="66"/>
      <c r="R20" s="30"/>
      <c r="S20" s="30"/>
      <c r="T20" s="30"/>
      <c r="U20" s="30"/>
      <c r="V20" s="30"/>
    </row>
    <row r="21" spans="1:22" x14ac:dyDescent="0.35">
      <c r="A21" s="2" t="s">
        <v>6</v>
      </c>
      <c r="B21" s="2" t="s">
        <v>11</v>
      </c>
      <c r="C21" s="3">
        <v>7</v>
      </c>
      <c r="D21" s="3">
        <v>3.3</v>
      </c>
      <c r="E21" s="8">
        <v>2</v>
      </c>
      <c r="F21" s="8">
        <v>2</v>
      </c>
      <c r="G21" s="8">
        <v>2</v>
      </c>
      <c r="H21" s="8">
        <v>2</v>
      </c>
      <c r="I21" s="8">
        <v>3</v>
      </c>
      <c r="J21" s="8">
        <v>3</v>
      </c>
      <c r="K21" s="8">
        <v>2</v>
      </c>
      <c r="L21" s="64">
        <v>1</v>
      </c>
      <c r="M21" s="4">
        <v>1</v>
      </c>
      <c r="N21" s="4">
        <v>2</v>
      </c>
      <c r="O21" s="4">
        <v>2</v>
      </c>
      <c r="P21" s="4">
        <v>3</v>
      </c>
      <c r="Q21" s="66"/>
      <c r="R21" s="30"/>
      <c r="S21" s="30"/>
      <c r="T21" s="30"/>
      <c r="U21" s="30"/>
      <c r="V21" s="30"/>
    </row>
    <row r="22" spans="1:22" x14ac:dyDescent="0.35">
      <c r="A22" s="2" t="s">
        <v>7</v>
      </c>
      <c r="B22" s="2" t="s">
        <v>12</v>
      </c>
      <c r="C22" s="3">
        <v>7</v>
      </c>
      <c r="D22" s="3">
        <v>3.8</v>
      </c>
      <c r="E22" s="8">
        <v>3</v>
      </c>
      <c r="F22" s="8">
        <v>2</v>
      </c>
      <c r="G22" s="8">
        <v>3</v>
      </c>
      <c r="H22" s="8">
        <v>3</v>
      </c>
      <c r="I22" s="8">
        <v>2</v>
      </c>
      <c r="J22" s="8">
        <v>2</v>
      </c>
      <c r="K22" s="8">
        <v>3</v>
      </c>
      <c r="L22" s="64">
        <v>3</v>
      </c>
      <c r="M22" s="4">
        <v>3</v>
      </c>
      <c r="N22" s="4">
        <v>3</v>
      </c>
      <c r="O22" s="4">
        <v>3</v>
      </c>
      <c r="P22" s="4">
        <v>2</v>
      </c>
      <c r="Q22" s="66"/>
      <c r="R22" s="30"/>
      <c r="S22" s="30"/>
      <c r="T22" s="30"/>
      <c r="U22" s="30"/>
      <c r="V22" s="30"/>
    </row>
    <row r="23" spans="1:22" x14ac:dyDescent="0.35">
      <c r="A23" s="2" t="s">
        <v>8</v>
      </c>
      <c r="B23" s="2" t="s">
        <v>13</v>
      </c>
      <c r="C23" s="3">
        <v>5</v>
      </c>
      <c r="D23" s="3">
        <v>3.5</v>
      </c>
      <c r="E23" s="8">
        <v>2</v>
      </c>
      <c r="F23" s="8">
        <v>3</v>
      </c>
      <c r="G23" s="8">
        <v>1</v>
      </c>
      <c r="H23" s="8">
        <v>3</v>
      </c>
      <c r="I23" s="8">
        <v>2</v>
      </c>
      <c r="J23" s="8">
        <v>2</v>
      </c>
      <c r="K23" s="8">
        <v>3</v>
      </c>
      <c r="L23" s="64">
        <v>2</v>
      </c>
      <c r="M23" s="4">
        <v>2</v>
      </c>
      <c r="N23" s="4">
        <v>1</v>
      </c>
      <c r="O23" s="4">
        <v>1</v>
      </c>
      <c r="P23" s="4">
        <v>2</v>
      </c>
      <c r="Q23" s="66"/>
      <c r="R23" s="30"/>
      <c r="S23" s="30"/>
      <c r="T23" s="30"/>
      <c r="U23" s="30"/>
      <c r="V23" s="30"/>
    </row>
  </sheetData>
  <mergeCells count="14">
    <mergeCell ref="A17:D17"/>
    <mergeCell ref="V17:V18"/>
    <mergeCell ref="E17:H17"/>
    <mergeCell ref="I17:M17"/>
    <mergeCell ref="N17:Q17"/>
    <mergeCell ref="A11:I11"/>
    <mergeCell ref="A12:I12"/>
    <mergeCell ref="A13:I13"/>
    <mergeCell ref="A14:I14"/>
    <mergeCell ref="V2:V3"/>
    <mergeCell ref="A2:D2"/>
    <mergeCell ref="E2:K2"/>
    <mergeCell ref="L2:Q2"/>
    <mergeCell ref="R2:U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F789-47DE-41F4-A046-5081B241DA13}">
  <dimension ref="B2:X31"/>
  <sheetViews>
    <sheetView topLeftCell="A4" zoomScaleNormal="100" workbookViewId="0">
      <selection activeCell="C20" sqref="C20"/>
    </sheetView>
  </sheetViews>
  <sheetFormatPr defaultRowHeight="14.5" x14ac:dyDescent="0.35"/>
  <cols>
    <col min="3" max="3" width="33.7265625" bestFit="1" customWidth="1"/>
    <col min="4" max="4" width="11.26953125" bestFit="1" customWidth="1"/>
    <col min="5" max="5" width="41.6328125" bestFit="1" customWidth="1"/>
    <col min="6" max="6" width="18.54296875" bestFit="1" customWidth="1"/>
    <col min="9" max="9" width="13.26953125" bestFit="1" customWidth="1"/>
    <col min="10" max="10" width="42.36328125" bestFit="1" customWidth="1"/>
    <col min="11" max="11" width="9.54296875" bestFit="1" customWidth="1"/>
    <col min="12" max="12" width="21.1796875" bestFit="1" customWidth="1"/>
    <col min="16" max="16" width="23.08984375" customWidth="1"/>
    <col min="17" max="17" width="17.7265625" bestFit="1" customWidth="1"/>
    <col min="18" max="18" width="23.6328125" bestFit="1" customWidth="1"/>
    <col min="19" max="19" width="26" bestFit="1" customWidth="1"/>
    <col min="23" max="23" width="9.26953125" bestFit="1" customWidth="1"/>
    <col min="26" max="26" width="8.7265625" customWidth="1"/>
  </cols>
  <sheetData>
    <row r="2" spans="2:24" x14ac:dyDescent="0.35">
      <c r="C2" s="85" t="s">
        <v>29</v>
      </c>
      <c r="D2" s="86"/>
      <c r="E2" s="86"/>
      <c r="F2" s="86"/>
      <c r="G2" s="86"/>
      <c r="H2" s="86"/>
      <c r="I2" s="86"/>
      <c r="J2" s="87" t="s">
        <v>28</v>
      </c>
      <c r="K2" s="88"/>
      <c r="L2" s="88"/>
      <c r="M2" s="88"/>
      <c r="N2" s="88"/>
      <c r="O2" s="88"/>
      <c r="P2" s="89" t="s">
        <v>37</v>
      </c>
      <c r="Q2" s="90"/>
      <c r="R2" s="90"/>
      <c r="S2" s="90"/>
    </row>
    <row r="3" spans="2:24" x14ac:dyDescent="0.35">
      <c r="B3" s="14" t="s">
        <v>40</v>
      </c>
      <c r="C3" s="12" t="s">
        <v>39</v>
      </c>
      <c r="D3" s="7" t="s">
        <v>19</v>
      </c>
      <c r="E3" s="7" t="s">
        <v>24</v>
      </c>
      <c r="F3" s="7" t="s">
        <v>20</v>
      </c>
      <c r="G3" s="7" t="s">
        <v>25</v>
      </c>
      <c r="H3" s="7" t="s">
        <v>27</v>
      </c>
      <c r="I3" s="7" t="s">
        <v>14</v>
      </c>
      <c r="J3" s="7" t="s">
        <v>26</v>
      </c>
      <c r="K3" s="7" t="s">
        <v>15</v>
      </c>
      <c r="L3" s="7" t="s">
        <v>21</v>
      </c>
      <c r="M3" s="7" t="s">
        <v>16</v>
      </c>
      <c r="N3" s="7" t="s">
        <v>17</v>
      </c>
      <c r="O3" s="7" t="s">
        <v>18</v>
      </c>
      <c r="P3" s="6" t="s">
        <v>30</v>
      </c>
      <c r="Q3" s="9" t="s">
        <v>31</v>
      </c>
      <c r="R3" s="10" t="s">
        <v>32</v>
      </c>
      <c r="S3" s="11" t="s">
        <v>33</v>
      </c>
    </row>
    <row r="4" spans="2:24" x14ac:dyDescent="0.35">
      <c r="B4" s="4" t="s">
        <v>41</v>
      </c>
      <c r="C4" s="13">
        <v>1</v>
      </c>
      <c r="D4" s="8">
        <v>3</v>
      </c>
      <c r="E4" s="8">
        <v>3</v>
      </c>
      <c r="F4" s="8">
        <v>3</v>
      </c>
      <c r="G4" s="8">
        <v>3</v>
      </c>
      <c r="H4" s="8">
        <v>3</v>
      </c>
      <c r="I4" s="8">
        <v>2</v>
      </c>
      <c r="J4" s="8">
        <v>2</v>
      </c>
      <c r="K4" s="8">
        <v>3</v>
      </c>
      <c r="L4" s="8">
        <v>2</v>
      </c>
      <c r="M4" s="8">
        <v>2</v>
      </c>
      <c r="N4" s="8">
        <v>3</v>
      </c>
      <c r="O4" s="8">
        <v>2</v>
      </c>
      <c r="P4" s="4">
        <v>2</v>
      </c>
      <c r="Q4" s="4">
        <v>3</v>
      </c>
      <c r="R4" s="4">
        <v>3</v>
      </c>
      <c r="S4" s="4">
        <v>2</v>
      </c>
    </row>
    <row r="5" spans="2:24" x14ac:dyDescent="0.35">
      <c r="B5" s="4" t="s">
        <v>42</v>
      </c>
      <c r="C5" s="13">
        <v>3</v>
      </c>
      <c r="D5" s="8">
        <v>3</v>
      </c>
      <c r="E5" s="8">
        <v>2</v>
      </c>
      <c r="F5" s="8">
        <v>2</v>
      </c>
      <c r="G5" s="8">
        <v>3</v>
      </c>
      <c r="H5" s="8">
        <v>2</v>
      </c>
      <c r="I5" s="8">
        <v>3</v>
      </c>
      <c r="J5" s="8">
        <v>3</v>
      </c>
      <c r="K5" s="8">
        <v>1</v>
      </c>
      <c r="L5" s="8">
        <v>3</v>
      </c>
      <c r="M5" s="8">
        <v>3</v>
      </c>
      <c r="N5" s="8">
        <v>3</v>
      </c>
      <c r="O5" s="8">
        <v>3</v>
      </c>
      <c r="P5" s="4">
        <v>3</v>
      </c>
      <c r="Q5" s="4">
        <v>3</v>
      </c>
      <c r="R5" s="4">
        <v>3</v>
      </c>
      <c r="S5" s="4">
        <v>3</v>
      </c>
    </row>
    <row r="6" spans="2:24" x14ac:dyDescent="0.35">
      <c r="B6" s="4" t="s">
        <v>43</v>
      </c>
      <c r="C6" s="13">
        <v>2</v>
      </c>
      <c r="D6" s="8">
        <v>3</v>
      </c>
      <c r="E6" s="8">
        <v>2</v>
      </c>
      <c r="F6" s="8">
        <v>2</v>
      </c>
      <c r="G6" s="8">
        <v>2</v>
      </c>
      <c r="H6" s="8">
        <v>1</v>
      </c>
      <c r="I6" s="8">
        <v>2</v>
      </c>
      <c r="J6" s="8">
        <v>3</v>
      </c>
      <c r="K6" s="8">
        <v>3</v>
      </c>
      <c r="L6" s="8">
        <v>3</v>
      </c>
      <c r="M6" s="8">
        <v>3</v>
      </c>
      <c r="N6" s="8">
        <v>2</v>
      </c>
      <c r="O6" s="8">
        <v>1</v>
      </c>
      <c r="P6" s="4">
        <v>1</v>
      </c>
      <c r="Q6" s="4">
        <v>2</v>
      </c>
      <c r="R6" s="4">
        <v>2</v>
      </c>
      <c r="S6" s="4">
        <v>3</v>
      </c>
    </row>
    <row r="7" spans="2:24" x14ac:dyDescent="0.35">
      <c r="B7" s="4" t="s">
        <v>44</v>
      </c>
      <c r="C7" s="13">
        <v>3</v>
      </c>
      <c r="D7" s="8">
        <v>2</v>
      </c>
      <c r="E7" s="8">
        <v>2</v>
      </c>
      <c r="F7" s="8">
        <v>3</v>
      </c>
      <c r="G7" s="8">
        <v>1</v>
      </c>
      <c r="H7" s="8">
        <v>2</v>
      </c>
      <c r="I7" s="8">
        <v>3</v>
      </c>
      <c r="J7" s="8">
        <v>2</v>
      </c>
      <c r="K7" s="8">
        <v>2</v>
      </c>
      <c r="L7" s="8">
        <v>2</v>
      </c>
      <c r="M7" s="8">
        <v>1</v>
      </c>
      <c r="N7" s="8">
        <v>3</v>
      </c>
      <c r="O7" s="8">
        <v>3</v>
      </c>
      <c r="P7" s="4">
        <v>3</v>
      </c>
      <c r="Q7" s="4">
        <v>3</v>
      </c>
      <c r="R7" s="4">
        <v>3</v>
      </c>
      <c r="S7" s="4">
        <v>2</v>
      </c>
    </row>
    <row r="8" spans="2:24" x14ac:dyDescent="0.35">
      <c r="B8" s="4" t="s">
        <v>45</v>
      </c>
      <c r="C8" s="13">
        <v>2</v>
      </c>
      <c r="D8" s="8">
        <v>3</v>
      </c>
      <c r="E8" s="8">
        <v>3</v>
      </c>
      <c r="F8" s="8">
        <v>1</v>
      </c>
      <c r="G8" s="8">
        <v>2</v>
      </c>
      <c r="H8" s="8">
        <v>3</v>
      </c>
      <c r="I8" s="8">
        <v>3</v>
      </c>
      <c r="J8" s="8">
        <v>2</v>
      </c>
      <c r="K8" s="8">
        <v>1</v>
      </c>
      <c r="L8" s="8">
        <v>2</v>
      </c>
      <c r="M8" s="8">
        <v>1</v>
      </c>
      <c r="N8" s="8">
        <v>3</v>
      </c>
      <c r="O8" s="8">
        <v>2</v>
      </c>
      <c r="P8" s="4">
        <v>2</v>
      </c>
      <c r="Q8" s="4">
        <v>1</v>
      </c>
      <c r="R8" s="4">
        <v>1</v>
      </c>
      <c r="S8" s="4">
        <v>2</v>
      </c>
    </row>
    <row r="10" spans="2:24" x14ac:dyDescent="0.35">
      <c r="B10" s="96"/>
      <c r="C10" s="96"/>
      <c r="D10" s="96"/>
      <c r="E10" s="96"/>
      <c r="F10" s="96"/>
      <c r="G10" s="96"/>
      <c r="H10" s="96"/>
    </row>
    <row r="11" spans="2:24" x14ac:dyDescent="0.35">
      <c r="B11" s="17"/>
      <c r="C11" s="17"/>
      <c r="D11" s="17"/>
      <c r="E11" s="17"/>
      <c r="F11" s="17"/>
      <c r="G11" s="17"/>
      <c r="H11" s="17"/>
    </row>
    <row r="12" spans="2:24" ht="29" x14ac:dyDescent="0.35">
      <c r="B12" s="16" t="s">
        <v>46</v>
      </c>
      <c r="C12" s="7" t="s">
        <v>39</v>
      </c>
      <c r="D12" s="7" t="s">
        <v>19</v>
      </c>
      <c r="E12" s="7" t="s">
        <v>24</v>
      </c>
      <c r="F12" s="7" t="s">
        <v>20</v>
      </c>
      <c r="G12" s="7" t="s">
        <v>25</v>
      </c>
      <c r="H12" s="7" t="s">
        <v>27</v>
      </c>
      <c r="I12" s="7" t="s">
        <v>14</v>
      </c>
      <c r="J12" s="7" t="s">
        <v>26</v>
      </c>
      <c r="K12" s="7" t="s">
        <v>15</v>
      </c>
      <c r="L12" s="7" t="s">
        <v>21</v>
      </c>
      <c r="M12" s="7" t="s">
        <v>16</v>
      </c>
      <c r="N12" s="7" t="s">
        <v>17</v>
      </c>
      <c r="O12" s="7" t="s">
        <v>18</v>
      </c>
      <c r="P12" s="7" t="s">
        <v>30</v>
      </c>
      <c r="Q12" s="7" t="s">
        <v>31</v>
      </c>
      <c r="R12" s="7" t="s">
        <v>32</v>
      </c>
      <c r="S12" s="7" t="s">
        <v>33</v>
      </c>
      <c r="T12" s="22" t="s">
        <v>60</v>
      </c>
      <c r="U12" s="22" t="s">
        <v>55</v>
      </c>
      <c r="V12" s="22" t="s">
        <v>56</v>
      </c>
      <c r="W12" s="22" t="s">
        <v>57</v>
      </c>
      <c r="X12" s="22" t="s">
        <v>47</v>
      </c>
    </row>
    <row r="13" spans="2:24" x14ac:dyDescent="0.35">
      <c r="B13" s="16" t="s">
        <v>48</v>
      </c>
      <c r="C13" s="8">
        <v>1</v>
      </c>
      <c r="D13" s="8">
        <v>3</v>
      </c>
      <c r="E13" s="8">
        <v>3</v>
      </c>
      <c r="F13" s="8">
        <v>3</v>
      </c>
      <c r="G13" s="8">
        <v>3</v>
      </c>
      <c r="H13" s="8">
        <v>3</v>
      </c>
      <c r="I13" s="8">
        <v>2</v>
      </c>
      <c r="J13" s="8">
        <v>2</v>
      </c>
      <c r="K13" s="8">
        <v>3</v>
      </c>
      <c r="L13" s="8">
        <v>2</v>
      </c>
      <c r="M13" s="8">
        <v>2</v>
      </c>
      <c r="N13" s="8">
        <v>3</v>
      </c>
      <c r="O13" s="8">
        <v>2</v>
      </c>
      <c r="P13" s="4">
        <v>2</v>
      </c>
      <c r="Q13" s="4">
        <v>3</v>
      </c>
      <c r="R13" s="4">
        <v>3</v>
      </c>
      <c r="S13" s="4">
        <v>2</v>
      </c>
      <c r="T13" s="14">
        <f>SQRT(SUMXMY2(C13:S13,$C$13:$S$13))</f>
        <v>0</v>
      </c>
      <c r="U13" s="23">
        <f>SQRT(SUMXMY2(C13:S13,$C$14:$S$14))</f>
        <v>4.2426406871192848</v>
      </c>
      <c r="V13" s="23">
        <f>SQRT(SUMXMY2(C13:S13,$C$15:$S$15))</f>
        <v>4.1231056256176606</v>
      </c>
      <c r="W13" s="24">
        <f>SQRT(SUMXMY2(C13:S13,$C$16:$S$16))</f>
        <v>4</v>
      </c>
      <c r="X13" s="28" t="s">
        <v>49</v>
      </c>
    </row>
    <row r="14" spans="2:24" x14ac:dyDescent="0.35">
      <c r="B14" s="16" t="s">
        <v>50</v>
      </c>
      <c r="C14" s="8">
        <v>3</v>
      </c>
      <c r="D14" s="8">
        <v>3</v>
      </c>
      <c r="E14" s="8">
        <v>2</v>
      </c>
      <c r="F14" s="8">
        <v>2</v>
      </c>
      <c r="G14" s="8">
        <v>3</v>
      </c>
      <c r="H14" s="8">
        <v>2</v>
      </c>
      <c r="I14" s="8">
        <v>3</v>
      </c>
      <c r="J14" s="8">
        <v>3</v>
      </c>
      <c r="K14" s="8">
        <v>1</v>
      </c>
      <c r="L14" s="8">
        <v>3</v>
      </c>
      <c r="M14" s="8">
        <v>3</v>
      </c>
      <c r="N14" s="8">
        <v>3</v>
      </c>
      <c r="O14" s="8">
        <v>3</v>
      </c>
      <c r="P14" s="4">
        <v>3</v>
      </c>
      <c r="Q14" s="4">
        <v>3</v>
      </c>
      <c r="R14" s="4">
        <v>3</v>
      </c>
      <c r="S14" s="4">
        <v>3</v>
      </c>
      <c r="T14" s="23">
        <f>SQRT(SUMXMY2(C14:S14,$C$13:$S$13))</f>
        <v>4.2426406871192848</v>
      </c>
      <c r="U14" s="24">
        <f t="shared" ref="U14:U17" si="0">SQRT(SUMXMY2(C14:S14,$C$14:$S$14))</f>
        <v>0</v>
      </c>
      <c r="V14" s="23">
        <f t="shared" ref="V14:V17" si="1">SQRT(SUMXMY2(C14:S14,$C$15:$S$15))</f>
        <v>4.358898943540674</v>
      </c>
      <c r="W14" s="23">
        <f t="shared" ref="W14:W15" si="2">SQRT(SUMXMY2(C14:S14,$C$16:$S$16))</f>
        <v>3.7416573867739413</v>
      </c>
      <c r="X14" s="28" t="s">
        <v>53</v>
      </c>
    </row>
    <row r="15" spans="2:24" x14ac:dyDescent="0.35">
      <c r="B15" s="16" t="s">
        <v>51</v>
      </c>
      <c r="C15" s="8">
        <v>2</v>
      </c>
      <c r="D15" s="8">
        <v>3</v>
      </c>
      <c r="E15" s="8">
        <v>2</v>
      </c>
      <c r="F15" s="8">
        <v>2</v>
      </c>
      <c r="G15" s="8">
        <v>2</v>
      </c>
      <c r="H15" s="8">
        <v>1</v>
      </c>
      <c r="I15" s="8">
        <v>2</v>
      </c>
      <c r="J15" s="8">
        <v>3</v>
      </c>
      <c r="K15" s="8">
        <v>3</v>
      </c>
      <c r="L15" s="8">
        <v>3</v>
      </c>
      <c r="M15" s="8">
        <v>3</v>
      </c>
      <c r="N15" s="8">
        <v>2</v>
      </c>
      <c r="O15" s="8">
        <v>1</v>
      </c>
      <c r="P15" s="4">
        <v>1</v>
      </c>
      <c r="Q15" s="4">
        <v>2</v>
      </c>
      <c r="R15" s="4">
        <v>2</v>
      </c>
      <c r="S15" s="4">
        <v>3</v>
      </c>
      <c r="T15" s="23">
        <f>SQRT(SUMXMY2(C15:S15,$C$13:$S$13))</f>
        <v>4.1231056256176606</v>
      </c>
      <c r="U15" s="23">
        <f t="shared" si="0"/>
        <v>4.358898943540674</v>
      </c>
      <c r="V15" s="24">
        <f t="shared" si="1"/>
        <v>0</v>
      </c>
      <c r="W15" s="14">
        <f t="shared" si="2"/>
        <v>5</v>
      </c>
      <c r="X15" s="28" t="s">
        <v>58</v>
      </c>
    </row>
    <row r="16" spans="2:24" x14ac:dyDescent="0.35">
      <c r="B16" s="25" t="s">
        <v>52</v>
      </c>
      <c r="C16" s="26">
        <v>3</v>
      </c>
      <c r="D16" s="26">
        <v>2</v>
      </c>
      <c r="E16" s="26">
        <v>2</v>
      </c>
      <c r="F16" s="26">
        <v>3</v>
      </c>
      <c r="G16" s="26">
        <v>1</v>
      </c>
      <c r="H16" s="26">
        <v>2</v>
      </c>
      <c r="I16" s="26">
        <v>3</v>
      </c>
      <c r="J16" s="26">
        <v>2</v>
      </c>
      <c r="K16" s="26">
        <v>2</v>
      </c>
      <c r="L16" s="26">
        <v>2</v>
      </c>
      <c r="M16" s="26">
        <v>1</v>
      </c>
      <c r="N16" s="26">
        <v>3</v>
      </c>
      <c r="O16" s="26">
        <v>3</v>
      </c>
      <c r="P16" s="15">
        <v>3</v>
      </c>
      <c r="Q16" s="15">
        <v>3</v>
      </c>
      <c r="R16" s="15">
        <v>3</v>
      </c>
      <c r="S16" s="15">
        <v>2</v>
      </c>
      <c r="T16" s="21">
        <f>SQRT(SUMXMY2(C16:S16,$C$13:$S$13))</f>
        <v>4</v>
      </c>
      <c r="U16" s="27">
        <f t="shared" si="0"/>
        <v>3.7416573867739413</v>
      </c>
      <c r="V16" s="27">
        <f t="shared" si="1"/>
        <v>5</v>
      </c>
      <c r="W16" s="21">
        <f>SQRT(SUMXMY2(C16:S16,$C$16:$S$16))</f>
        <v>0</v>
      </c>
      <c r="X16" s="29" t="s">
        <v>59</v>
      </c>
    </row>
    <row r="17" spans="2:24" x14ac:dyDescent="0.35">
      <c r="B17" s="18" t="s">
        <v>54</v>
      </c>
      <c r="C17" s="8">
        <v>2</v>
      </c>
      <c r="D17" s="8">
        <v>3</v>
      </c>
      <c r="E17" s="8">
        <v>3</v>
      </c>
      <c r="F17" s="8">
        <v>1</v>
      </c>
      <c r="G17" s="8">
        <v>2</v>
      </c>
      <c r="H17" s="8">
        <v>3</v>
      </c>
      <c r="I17" s="8">
        <v>3</v>
      </c>
      <c r="J17" s="8">
        <v>2</v>
      </c>
      <c r="K17" s="8">
        <v>1</v>
      </c>
      <c r="L17" s="8">
        <v>2</v>
      </c>
      <c r="M17" s="8">
        <v>1</v>
      </c>
      <c r="N17" s="8">
        <v>3</v>
      </c>
      <c r="O17" s="8">
        <v>2</v>
      </c>
      <c r="P17" s="4">
        <v>2</v>
      </c>
      <c r="Q17" s="4">
        <v>1</v>
      </c>
      <c r="R17" s="4">
        <v>1</v>
      </c>
      <c r="S17" s="4">
        <v>2</v>
      </c>
      <c r="T17" s="27">
        <f>SQRT(SUMXMY2(C17:S17,$C$13:$S$13))</f>
        <v>4.4721359549995796</v>
      </c>
      <c r="U17" s="27">
        <f t="shared" si="0"/>
        <v>4.6904157598234297</v>
      </c>
      <c r="V17" s="27">
        <f t="shared" si="1"/>
        <v>4.7958315233127191</v>
      </c>
      <c r="W17" s="27">
        <f>SQRT(SUMXMY2(C17:S17,$C$16:$S$16))</f>
        <v>4.4721359549995796</v>
      </c>
      <c r="X17" s="28" t="s">
        <v>49</v>
      </c>
    </row>
    <row r="18" spans="2:24" x14ac:dyDescent="0.35">
      <c r="B18" s="18"/>
      <c r="C18" s="8"/>
      <c r="D18" s="18"/>
      <c r="E18" s="20"/>
      <c r="F18" s="20"/>
      <c r="G18" s="18"/>
      <c r="H18" s="19"/>
    </row>
    <row r="19" spans="2:24" x14ac:dyDescent="0.35">
      <c r="C19">
        <f>AVERAGE(C13,C17)</f>
        <v>1.5</v>
      </c>
      <c r="D19">
        <f t="shared" ref="D19:S19" si="3">AVERAGE(D13,D17)</f>
        <v>3</v>
      </c>
      <c r="E19">
        <f t="shared" si="3"/>
        <v>3</v>
      </c>
      <c r="F19">
        <f t="shared" si="3"/>
        <v>2</v>
      </c>
      <c r="G19">
        <f t="shared" si="3"/>
        <v>2.5</v>
      </c>
      <c r="H19">
        <f t="shared" si="3"/>
        <v>3</v>
      </c>
      <c r="I19">
        <f t="shared" si="3"/>
        <v>2.5</v>
      </c>
      <c r="J19">
        <f t="shared" si="3"/>
        <v>2</v>
      </c>
      <c r="K19">
        <f t="shared" si="3"/>
        <v>2</v>
      </c>
      <c r="L19">
        <f t="shared" si="3"/>
        <v>2</v>
      </c>
      <c r="M19">
        <f t="shared" si="3"/>
        <v>1.5</v>
      </c>
      <c r="N19">
        <f t="shared" si="3"/>
        <v>3</v>
      </c>
      <c r="O19">
        <f t="shared" si="3"/>
        <v>2</v>
      </c>
      <c r="P19">
        <f t="shared" si="3"/>
        <v>2</v>
      </c>
      <c r="Q19">
        <f t="shared" si="3"/>
        <v>2</v>
      </c>
      <c r="R19">
        <f t="shared" si="3"/>
        <v>2</v>
      </c>
      <c r="S19">
        <f t="shared" si="3"/>
        <v>2</v>
      </c>
    </row>
    <row r="26" spans="2:24" ht="29" x14ac:dyDescent="0.35">
      <c r="B26" s="16" t="s">
        <v>46</v>
      </c>
      <c r="C26" s="7" t="s">
        <v>39</v>
      </c>
      <c r="D26" s="7" t="s">
        <v>19</v>
      </c>
      <c r="E26" s="7" t="s">
        <v>24</v>
      </c>
      <c r="F26" s="7" t="s">
        <v>20</v>
      </c>
      <c r="G26" s="7" t="s">
        <v>25</v>
      </c>
      <c r="H26" s="7" t="s">
        <v>27</v>
      </c>
      <c r="I26" s="7" t="s">
        <v>14</v>
      </c>
      <c r="J26" s="7" t="s">
        <v>26</v>
      </c>
      <c r="K26" s="7" t="s">
        <v>15</v>
      </c>
      <c r="L26" s="7" t="s">
        <v>21</v>
      </c>
      <c r="M26" s="7" t="s">
        <v>16</v>
      </c>
      <c r="N26" s="7" t="s">
        <v>17</v>
      </c>
      <c r="O26" s="7" t="s">
        <v>18</v>
      </c>
      <c r="P26" s="7" t="s">
        <v>30</v>
      </c>
      <c r="Q26" s="7" t="s">
        <v>31</v>
      </c>
      <c r="R26" s="7" t="s">
        <v>32</v>
      </c>
      <c r="S26" s="7" t="s">
        <v>33</v>
      </c>
      <c r="T26" s="22" t="s">
        <v>60</v>
      </c>
      <c r="U26" s="22" t="s">
        <v>55</v>
      </c>
      <c r="V26" s="22" t="s">
        <v>56</v>
      </c>
      <c r="W26" s="22" t="s">
        <v>57</v>
      </c>
      <c r="X26" s="22" t="s">
        <v>47</v>
      </c>
    </row>
    <row r="27" spans="2:24" x14ac:dyDescent="0.35">
      <c r="B27" s="16" t="s">
        <v>48</v>
      </c>
      <c r="C27" s="8">
        <v>1</v>
      </c>
      <c r="D27" s="8">
        <v>3</v>
      </c>
      <c r="E27" s="8">
        <v>3</v>
      </c>
      <c r="F27" s="8">
        <v>3</v>
      </c>
      <c r="G27" s="8">
        <v>3</v>
      </c>
      <c r="H27" s="8">
        <v>3</v>
      </c>
      <c r="I27" s="8">
        <v>2</v>
      </c>
      <c r="J27" s="8">
        <v>2</v>
      </c>
      <c r="K27" s="8">
        <v>3</v>
      </c>
      <c r="L27" s="8">
        <v>2</v>
      </c>
      <c r="M27" s="8">
        <v>2</v>
      </c>
      <c r="N27" s="8">
        <v>3</v>
      </c>
      <c r="O27" s="8">
        <v>2</v>
      </c>
      <c r="P27" s="4">
        <v>2</v>
      </c>
      <c r="Q27" s="4">
        <v>3</v>
      </c>
      <c r="R27" s="4">
        <v>3</v>
      </c>
      <c r="S27" s="4">
        <v>2</v>
      </c>
      <c r="T27" s="23">
        <f>SQRT(SUMXMY2(C27:S27, C$19:S$19))</f>
        <v>2.2360679774997898</v>
      </c>
      <c r="U27" s="23">
        <f>SQRT(SUMXMY2(C27:S27, C$19:S$19))</f>
        <v>2.2360679774997898</v>
      </c>
      <c r="V27" s="23"/>
      <c r="W27" s="24"/>
      <c r="X27" s="28" t="s">
        <v>49</v>
      </c>
    </row>
    <row r="28" spans="2:24" x14ac:dyDescent="0.35">
      <c r="B28" s="16" t="s">
        <v>50</v>
      </c>
      <c r="C28" s="8">
        <v>3</v>
      </c>
      <c r="D28" s="8">
        <v>3</v>
      </c>
      <c r="E28" s="8">
        <v>2</v>
      </c>
      <c r="F28" s="8">
        <v>2</v>
      </c>
      <c r="G28" s="8">
        <v>3</v>
      </c>
      <c r="H28" s="8">
        <v>2</v>
      </c>
      <c r="I28" s="8">
        <v>3</v>
      </c>
      <c r="J28" s="8">
        <v>3</v>
      </c>
      <c r="K28" s="8">
        <v>1</v>
      </c>
      <c r="L28" s="8">
        <v>3</v>
      </c>
      <c r="M28" s="8">
        <v>3</v>
      </c>
      <c r="N28" s="8">
        <v>3</v>
      </c>
      <c r="O28" s="8">
        <v>3</v>
      </c>
      <c r="P28" s="4">
        <v>3</v>
      </c>
      <c r="Q28" s="4">
        <v>3</v>
      </c>
      <c r="R28" s="4">
        <v>3</v>
      </c>
      <c r="S28" s="4">
        <v>3</v>
      </c>
      <c r="T28" s="23">
        <f>SQRT(SUMXMY2(C28:S28, C$19:S$19))</f>
        <v>3.872983346207417</v>
      </c>
      <c r="U28" s="24"/>
      <c r="V28" s="23"/>
      <c r="W28" s="23"/>
      <c r="X28" s="28" t="s">
        <v>53</v>
      </c>
    </row>
    <row r="29" spans="2:24" x14ac:dyDescent="0.35">
      <c r="B29" s="16" t="s">
        <v>51</v>
      </c>
      <c r="C29" s="8">
        <v>2</v>
      </c>
      <c r="D29" s="8">
        <v>3</v>
      </c>
      <c r="E29" s="8">
        <v>2</v>
      </c>
      <c r="F29" s="8">
        <v>2</v>
      </c>
      <c r="G29" s="8">
        <v>2</v>
      </c>
      <c r="H29" s="8">
        <v>1</v>
      </c>
      <c r="I29" s="8">
        <v>2</v>
      </c>
      <c r="J29" s="8">
        <v>3</v>
      </c>
      <c r="K29" s="8">
        <v>3</v>
      </c>
      <c r="L29" s="8">
        <v>3</v>
      </c>
      <c r="M29" s="8">
        <v>3</v>
      </c>
      <c r="N29" s="8">
        <v>2</v>
      </c>
      <c r="O29" s="8">
        <v>1</v>
      </c>
      <c r="P29" s="4">
        <v>1</v>
      </c>
      <c r="Q29" s="4">
        <v>2</v>
      </c>
      <c r="R29" s="4">
        <v>2</v>
      </c>
      <c r="S29" s="4">
        <v>3</v>
      </c>
      <c r="T29" s="23">
        <f>SQRT(SUMXMY2(C29:S29, C$19:S$19))</f>
        <v>3.872983346207417</v>
      </c>
      <c r="U29" s="23"/>
      <c r="V29" s="24"/>
      <c r="W29" s="14"/>
      <c r="X29" s="28" t="s">
        <v>58</v>
      </c>
    </row>
    <row r="30" spans="2:24" x14ac:dyDescent="0.35">
      <c r="B30" s="25" t="s">
        <v>52</v>
      </c>
      <c r="C30" s="26">
        <v>3</v>
      </c>
      <c r="D30" s="26">
        <v>2</v>
      </c>
      <c r="E30" s="26">
        <v>2</v>
      </c>
      <c r="F30" s="26">
        <v>3</v>
      </c>
      <c r="G30" s="26">
        <v>1</v>
      </c>
      <c r="H30" s="26">
        <v>2</v>
      </c>
      <c r="I30" s="26">
        <v>3</v>
      </c>
      <c r="J30" s="26">
        <v>2</v>
      </c>
      <c r="K30" s="26">
        <v>2</v>
      </c>
      <c r="L30" s="26">
        <v>2</v>
      </c>
      <c r="M30" s="26">
        <v>1</v>
      </c>
      <c r="N30" s="26">
        <v>3</v>
      </c>
      <c r="O30" s="26">
        <v>3</v>
      </c>
      <c r="P30" s="15">
        <v>3</v>
      </c>
      <c r="Q30" s="15">
        <v>3</v>
      </c>
      <c r="R30" s="15">
        <v>3</v>
      </c>
      <c r="S30" s="15">
        <v>2</v>
      </c>
      <c r="T30" s="23">
        <f>SQRT(SUMXMY2(C30:S30, C$19:S$19))</f>
        <v>3.6055512754639891</v>
      </c>
      <c r="U30" s="27"/>
      <c r="V30" s="27"/>
      <c r="W30" s="21"/>
      <c r="X30" s="29" t="s">
        <v>59</v>
      </c>
    </row>
    <row r="31" spans="2:24" x14ac:dyDescent="0.35">
      <c r="B31" s="18" t="s">
        <v>54</v>
      </c>
      <c r="C31" s="8">
        <v>2</v>
      </c>
      <c r="D31" s="8">
        <v>3</v>
      </c>
      <c r="E31" s="8">
        <v>3</v>
      </c>
      <c r="F31" s="8">
        <v>1</v>
      </c>
      <c r="G31" s="8">
        <v>2</v>
      </c>
      <c r="H31" s="8">
        <v>3</v>
      </c>
      <c r="I31" s="8">
        <v>3</v>
      </c>
      <c r="J31" s="8">
        <v>2</v>
      </c>
      <c r="K31" s="8">
        <v>1</v>
      </c>
      <c r="L31" s="8">
        <v>2</v>
      </c>
      <c r="M31" s="8">
        <v>1</v>
      </c>
      <c r="N31" s="8">
        <v>3</v>
      </c>
      <c r="O31" s="8">
        <v>2</v>
      </c>
      <c r="P31" s="4">
        <v>2</v>
      </c>
      <c r="Q31" s="4">
        <v>1</v>
      </c>
      <c r="R31" s="4">
        <v>1</v>
      </c>
      <c r="S31" s="4">
        <v>2</v>
      </c>
      <c r="T31" s="23">
        <f>SQRT(SUMXMY2(C31:S31, C$19:S$19))</f>
        <v>2.2360679774997898</v>
      </c>
      <c r="U31" s="27"/>
      <c r="V31" s="27"/>
      <c r="W31" s="27"/>
      <c r="X31" s="28" t="s">
        <v>49</v>
      </c>
    </row>
  </sheetData>
  <mergeCells count="4">
    <mergeCell ref="C2:I2"/>
    <mergeCell ref="J2:O2"/>
    <mergeCell ref="P2:S2"/>
    <mergeCell ref="B10:H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A6EDD-79A1-47FF-88EB-9B9FCF621A94}">
  <dimension ref="A2:Y41"/>
  <sheetViews>
    <sheetView topLeftCell="H14" zoomScale="70" zoomScaleNormal="70" workbookViewId="0">
      <selection activeCell="E20" sqref="E20"/>
    </sheetView>
  </sheetViews>
  <sheetFormatPr defaultRowHeight="14.5" x14ac:dyDescent="0.35"/>
  <cols>
    <col min="1" max="1" width="56.26953125" customWidth="1"/>
    <col min="5" max="5" width="33.7265625" customWidth="1"/>
    <col min="6" max="6" width="11.54296875" bestFit="1" customWidth="1"/>
    <col min="7" max="7" width="43.54296875" bestFit="1" customWidth="1"/>
    <col min="18" max="18" width="16.36328125" bestFit="1" customWidth="1"/>
    <col min="19" max="19" width="18.6328125" bestFit="1" customWidth="1"/>
    <col min="20" max="20" width="23.6328125" bestFit="1" customWidth="1"/>
    <col min="21" max="21" width="26" bestFit="1" customWidth="1"/>
  </cols>
  <sheetData>
    <row r="2" spans="1:25" x14ac:dyDescent="0.35">
      <c r="A2" s="84" t="s">
        <v>22</v>
      </c>
      <c r="B2" s="84"/>
      <c r="C2" s="84"/>
      <c r="D2" s="84"/>
      <c r="E2" s="85" t="s">
        <v>29</v>
      </c>
      <c r="F2" s="86"/>
      <c r="G2" s="86"/>
      <c r="H2" s="86"/>
      <c r="I2" s="86"/>
      <c r="J2" s="86"/>
      <c r="K2" s="86"/>
      <c r="L2" s="87" t="s">
        <v>28</v>
      </c>
      <c r="M2" s="88"/>
      <c r="N2" s="88"/>
      <c r="O2" s="88"/>
      <c r="P2" s="88"/>
      <c r="Q2" s="88"/>
      <c r="R2" s="89" t="s">
        <v>37</v>
      </c>
      <c r="S2" s="90"/>
      <c r="T2" s="90"/>
      <c r="U2" s="90"/>
    </row>
    <row r="3" spans="1:25" x14ac:dyDescent="0.35">
      <c r="A3" s="1" t="s">
        <v>0</v>
      </c>
      <c r="B3" s="1" t="s">
        <v>1</v>
      </c>
      <c r="C3" s="1" t="s">
        <v>2</v>
      </c>
      <c r="D3" s="1" t="s">
        <v>3</v>
      </c>
      <c r="E3" s="7" t="s">
        <v>39</v>
      </c>
      <c r="F3" s="7" t="s">
        <v>19</v>
      </c>
      <c r="G3" s="7" t="s">
        <v>24</v>
      </c>
      <c r="H3" s="7" t="s">
        <v>20</v>
      </c>
      <c r="I3" s="7" t="s">
        <v>25</v>
      </c>
      <c r="J3" s="7" t="s">
        <v>27</v>
      </c>
      <c r="K3" s="7" t="s">
        <v>14</v>
      </c>
      <c r="L3" s="7" t="s">
        <v>26</v>
      </c>
      <c r="M3" s="7" t="s">
        <v>15</v>
      </c>
      <c r="N3" s="7" t="s">
        <v>21</v>
      </c>
      <c r="O3" s="7" t="s">
        <v>16</v>
      </c>
      <c r="P3" s="7" t="s">
        <v>17</v>
      </c>
      <c r="Q3" s="7" t="s">
        <v>18</v>
      </c>
      <c r="R3" s="6" t="s">
        <v>30</v>
      </c>
      <c r="S3" s="9" t="s">
        <v>31</v>
      </c>
      <c r="T3" s="10" t="s">
        <v>32</v>
      </c>
      <c r="U3" s="11" t="s">
        <v>33</v>
      </c>
    </row>
    <row r="4" spans="1:25" x14ac:dyDescent="0.35">
      <c r="A4" s="2" t="s">
        <v>4</v>
      </c>
      <c r="B4" s="2" t="s">
        <v>9</v>
      </c>
      <c r="C4" s="3">
        <v>7</v>
      </c>
      <c r="D4" s="3">
        <v>3.4</v>
      </c>
      <c r="E4" s="8">
        <v>1</v>
      </c>
      <c r="F4" s="8">
        <v>3</v>
      </c>
      <c r="G4" s="8">
        <v>3</v>
      </c>
      <c r="H4" s="8">
        <v>3</v>
      </c>
      <c r="I4" s="8">
        <v>3</v>
      </c>
      <c r="J4" s="8">
        <v>3</v>
      </c>
      <c r="K4" s="8">
        <v>2</v>
      </c>
      <c r="L4" s="8">
        <v>2</v>
      </c>
      <c r="M4" s="8">
        <v>3</v>
      </c>
      <c r="N4" s="8">
        <v>2</v>
      </c>
      <c r="O4" s="8">
        <v>2</v>
      </c>
      <c r="P4" s="8">
        <v>3</v>
      </c>
      <c r="Q4" s="8">
        <v>2</v>
      </c>
      <c r="R4" s="4">
        <v>2</v>
      </c>
      <c r="S4" s="4">
        <v>3</v>
      </c>
      <c r="T4" s="4">
        <v>3</v>
      </c>
      <c r="U4" s="4">
        <v>2</v>
      </c>
    </row>
    <row r="5" spans="1:25" x14ac:dyDescent="0.35">
      <c r="A5" s="2" t="s">
        <v>5</v>
      </c>
      <c r="B5" s="2" t="s">
        <v>10</v>
      </c>
      <c r="C5" s="3">
        <v>7</v>
      </c>
      <c r="D5" s="3">
        <v>3.7</v>
      </c>
      <c r="E5" s="8">
        <v>3</v>
      </c>
      <c r="F5" s="8">
        <v>3</v>
      </c>
      <c r="G5" s="8">
        <v>2</v>
      </c>
      <c r="H5" s="8">
        <v>2</v>
      </c>
      <c r="I5" s="8">
        <v>3</v>
      </c>
      <c r="J5" s="8">
        <v>2</v>
      </c>
      <c r="K5" s="8">
        <v>3</v>
      </c>
      <c r="L5" s="8">
        <v>3</v>
      </c>
      <c r="M5" s="8">
        <v>1</v>
      </c>
      <c r="N5" s="8">
        <v>3</v>
      </c>
      <c r="O5" s="8">
        <v>3</v>
      </c>
      <c r="P5" s="8">
        <v>3</v>
      </c>
      <c r="Q5" s="8">
        <v>3</v>
      </c>
      <c r="R5" s="4">
        <v>3</v>
      </c>
      <c r="S5" s="4">
        <v>3</v>
      </c>
      <c r="T5" s="4">
        <v>3</v>
      </c>
      <c r="U5" s="4">
        <v>3</v>
      </c>
    </row>
    <row r="6" spans="1:25" x14ac:dyDescent="0.35">
      <c r="A6" s="2" t="s">
        <v>6</v>
      </c>
      <c r="B6" s="2" t="s">
        <v>11</v>
      </c>
      <c r="C6" s="3">
        <v>7</v>
      </c>
      <c r="D6" s="3">
        <v>3.3</v>
      </c>
      <c r="E6" s="8">
        <v>2</v>
      </c>
      <c r="F6" s="8">
        <v>3</v>
      </c>
      <c r="G6" s="8">
        <v>2</v>
      </c>
      <c r="H6" s="8">
        <v>2</v>
      </c>
      <c r="I6" s="8">
        <v>2</v>
      </c>
      <c r="J6" s="8">
        <v>1</v>
      </c>
      <c r="K6" s="8">
        <v>2</v>
      </c>
      <c r="L6" s="8">
        <v>3</v>
      </c>
      <c r="M6" s="8">
        <v>3</v>
      </c>
      <c r="N6" s="8">
        <v>3</v>
      </c>
      <c r="O6" s="8">
        <v>3</v>
      </c>
      <c r="P6" s="8">
        <v>2</v>
      </c>
      <c r="Q6" s="8">
        <v>1</v>
      </c>
      <c r="R6" s="4">
        <v>1</v>
      </c>
      <c r="S6" s="4">
        <v>2</v>
      </c>
      <c r="T6" s="4">
        <v>2</v>
      </c>
      <c r="U6" s="4">
        <v>3</v>
      </c>
    </row>
    <row r="7" spans="1:25" x14ac:dyDescent="0.35">
      <c r="A7" s="2" t="s">
        <v>7</v>
      </c>
      <c r="B7" s="2" t="s">
        <v>12</v>
      </c>
      <c r="C7" s="3">
        <v>7</v>
      </c>
      <c r="D7" s="3">
        <v>3.8</v>
      </c>
      <c r="E7" s="8">
        <v>3</v>
      </c>
      <c r="F7" s="8">
        <v>2</v>
      </c>
      <c r="G7" s="8">
        <v>2</v>
      </c>
      <c r="H7" s="8">
        <v>3</v>
      </c>
      <c r="I7" s="8">
        <v>1</v>
      </c>
      <c r="J7" s="8">
        <v>2</v>
      </c>
      <c r="K7" s="8">
        <v>3</v>
      </c>
      <c r="L7" s="8">
        <v>2</v>
      </c>
      <c r="M7" s="8">
        <v>2</v>
      </c>
      <c r="N7" s="8">
        <v>2</v>
      </c>
      <c r="O7" s="8">
        <v>1</v>
      </c>
      <c r="P7" s="8">
        <v>3</v>
      </c>
      <c r="Q7" s="8">
        <v>3</v>
      </c>
      <c r="R7" s="4">
        <v>3</v>
      </c>
      <c r="S7" s="4">
        <v>3</v>
      </c>
      <c r="T7" s="4">
        <v>3</v>
      </c>
      <c r="U7" s="4">
        <v>2</v>
      </c>
    </row>
    <row r="8" spans="1:25" x14ac:dyDescent="0.35">
      <c r="A8" s="2" t="s">
        <v>8</v>
      </c>
      <c r="B8" s="2" t="s">
        <v>13</v>
      </c>
      <c r="C8" s="3">
        <v>5</v>
      </c>
      <c r="D8" s="3">
        <v>3.5</v>
      </c>
      <c r="E8" s="8">
        <v>2</v>
      </c>
      <c r="F8" s="8">
        <v>3</v>
      </c>
      <c r="G8" s="8">
        <v>3</v>
      </c>
      <c r="H8" s="8">
        <v>1</v>
      </c>
      <c r="I8" s="8">
        <v>2</v>
      </c>
      <c r="J8" s="8">
        <v>3</v>
      </c>
      <c r="K8" s="8">
        <v>3</v>
      </c>
      <c r="L8" s="8">
        <v>2</v>
      </c>
      <c r="M8" s="8">
        <v>1</v>
      </c>
      <c r="N8" s="8">
        <v>2</v>
      </c>
      <c r="O8" s="8">
        <v>1</v>
      </c>
      <c r="P8" s="8">
        <v>3</v>
      </c>
      <c r="Q8" s="8">
        <v>2</v>
      </c>
      <c r="R8" s="4">
        <v>2</v>
      </c>
      <c r="S8" s="4">
        <v>1</v>
      </c>
      <c r="T8" s="4">
        <v>1</v>
      </c>
      <c r="U8" s="4">
        <v>2</v>
      </c>
    </row>
    <row r="11" spans="1:25" x14ac:dyDescent="0.35">
      <c r="A11" s="1" t="s">
        <v>0</v>
      </c>
      <c r="B11" s="1" t="s">
        <v>1</v>
      </c>
      <c r="C11" s="1" t="s">
        <v>2</v>
      </c>
      <c r="D11" s="1" t="s">
        <v>3</v>
      </c>
      <c r="E11" s="7" t="s">
        <v>39</v>
      </c>
      <c r="F11" s="7" t="s">
        <v>19</v>
      </c>
      <c r="G11" s="7" t="s">
        <v>24</v>
      </c>
      <c r="H11" s="7" t="s">
        <v>20</v>
      </c>
      <c r="I11" s="7" t="s">
        <v>25</v>
      </c>
      <c r="J11" s="7" t="s">
        <v>27</v>
      </c>
      <c r="K11" s="7" t="s">
        <v>14</v>
      </c>
      <c r="L11" s="7" t="s">
        <v>26</v>
      </c>
      <c r="M11" s="7" t="s">
        <v>15</v>
      </c>
      <c r="N11" s="7" t="s">
        <v>21</v>
      </c>
      <c r="O11" s="7" t="s">
        <v>16</v>
      </c>
      <c r="P11" s="7" t="s">
        <v>17</v>
      </c>
      <c r="Q11" s="7" t="s">
        <v>18</v>
      </c>
      <c r="R11" s="6" t="s">
        <v>30</v>
      </c>
      <c r="S11" s="9" t="s">
        <v>31</v>
      </c>
      <c r="T11" s="10" t="s">
        <v>32</v>
      </c>
      <c r="U11" s="11" t="s">
        <v>33</v>
      </c>
      <c r="V11" s="14" t="s">
        <v>61</v>
      </c>
      <c r="W11" s="14" t="s">
        <v>62</v>
      </c>
      <c r="X11" s="14" t="s">
        <v>63</v>
      </c>
      <c r="Y11" s="4" t="s">
        <v>47</v>
      </c>
    </row>
    <row r="12" spans="1:25" x14ac:dyDescent="0.35">
      <c r="A12" s="2" t="s">
        <v>4</v>
      </c>
      <c r="B12" s="2" t="s">
        <v>9</v>
      </c>
      <c r="C12" s="3">
        <v>7</v>
      </c>
      <c r="D12" s="3">
        <v>3.4</v>
      </c>
      <c r="E12" s="8">
        <v>1</v>
      </c>
      <c r="F12" s="8">
        <v>3</v>
      </c>
      <c r="G12" s="8">
        <v>3</v>
      </c>
      <c r="H12" s="8">
        <v>3</v>
      </c>
      <c r="I12" s="8">
        <v>3</v>
      </c>
      <c r="J12" s="8">
        <v>3</v>
      </c>
      <c r="K12" s="8">
        <v>2</v>
      </c>
      <c r="L12" s="8">
        <v>2</v>
      </c>
      <c r="M12" s="8">
        <v>3</v>
      </c>
      <c r="N12" s="8">
        <v>2</v>
      </c>
      <c r="O12" s="8">
        <v>2</v>
      </c>
      <c r="P12" s="8">
        <v>3</v>
      </c>
      <c r="Q12" s="8">
        <v>2</v>
      </c>
      <c r="R12" s="4">
        <v>2</v>
      </c>
      <c r="S12" s="4">
        <v>3</v>
      </c>
      <c r="T12" s="4">
        <v>3</v>
      </c>
      <c r="U12" s="4">
        <v>2</v>
      </c>
      <c r="V12" s="4">
        <f>SQRT(SUMXMY2(E4:U4, $E$12:$U$12))</f>
        <v>0</v>
      </c>
      <c r="W12" s="4">
        <f>SQRT(SUMXMY2(E4:U4, $E$13:$U$13))</f>
        <v>4.2426406871192848</v>
      </c>
      <c r="X12" s="4">
        <f>SQRT(SUMXMY2(E4:U4, $E$14:$U$14))</f>
        <v>4.1231056256176606</v>
      </c>
      <c r="Y12" s="4" t="s">
        <v>49</v>
      </c>
    </row>
    <row r="13" spans="1:25" x14ac:dyDescent="0.35">
      <c r="A13" s="2" t="s">
        <v>5</v>
      </c>
      <c r="B13" s="2" t="s">
        <v>10</v>
      </c>
      <c r="C13" s="3">
        <v>7</v>
      </c>
      <c r="D13" s="3">
        <v>3.7</v>
      </c>
      <c r="E13" s="8">
        <v>3</v>
      </c>
      <c r="F13" s="8">
        <v>3</v>
      </c>
      <c r="G13" s="8">
        <v>2</v>
      </c>
      <c r="H13" s="8">
        <v>2</v>
      </c>
      <c r="I13" s="8">
        <v>3</v>
      </c>
      <c r="J13" s="8">
        <v>2</v>
      </c>
      <c r="K13" s="8">
        <v>3</v>
      </c>
      <c r="L13" s="8">
        <v>3</v>
      </c>
      <c r="M13" s="8">
        <v>1</v>
      </c>
      <c r="N13" s="8">
        <v>3</v>
      </c>
      <c r="O13" s="8">
        <v>3</v>
      </c>
      <c r="P13" s="8">
        <v>3</v>
      </c>
      <c r="Q13" s="8">
        <v>3</v>
      </c>
      <c r="R13" s="4">
        <v>3</v>
      </c>
      <c r="S13" s="4">
        <v>3</v>
      </c>
      <c r="T13" s="4">
        <v>3</v>
      </c>
      <c r="U13" s="4">
        <v>3</v>
      </c>
      <c r="V13" s="4">
        <f>SQRT(SUMXMY2(E5:U5, $E$12:$U$12))</f>
        <v>4.2426406871192848</v>
      </c>
      <c r="W13" s="4">
        <f t="shared" ref="W13:W16" si="0">SQRT(SUMXMY2(E5:U5, $E$13:$U$13))</f>
        <v>0</v>
      </c>
      <c r="X13" s="4">
        <f t="shared" ref="X13:X16" si="1">SQRT(SUMXMY2(E5:U5, $E$14:$U$14))</f>
        <v>4.358898943540674</v>
      </c>
      <c r="Y13" s="4" t="s">
        <v>53</v>
      </c>
    </row>
    <row r="14" spans="1:25" x14ac:dyDescent="0.35">
      <c r="A14" s="2" t="s">
        <v>6</v>
      </c>
      <c r="B14" s="2" t="s">
        <v>11</v>
      </c>
      <c r="C14" s="3">
        <v>7</v>
      </c>
      <c r="D14" s="3">
        <v>3.3</v>
      </c>
      <c r="E14" s="8">
        <v>2</v>
      </c>
      <c r="F14" s="8">
        <v>3</v>
      </c>
      <c r="G14" s="8">
        <v>2</v>
      </c>
      <c r="H14" s="8">
        <v>2</v>
      </c>
      <c r="I14" s="8">
        <v>2</v>
      </c>
      <c r="J14" s="8">
        <v>1</v>
      </c>
      <c r="K14" s="8">
        <v>2</v>
      </c>
      <c r="L14" s="8">
        <v>3</v>
      </c>
      <c r="M14" s="8">
        <v>3</v>
      </c>
      <c r="N14" s="8">
        <v>3</v>
      </c>
      <c r="O14" s="8">
        <v>3</v>
      </c>
      <c r="P14" s="8">
        <v>2</v>
      </c>
      <c r="Q14" s="8">
        <v>1</v>
      </c>
      <c r="R14" s="4">
        <v>1</v>
      </c>
      <c r="S14" s="4">
        <v>2</v>
      </c>
      <c r="T14" s="4">
        <v>2</v>
      </c>
      <c r="U14" s="4">
        <v>3</v>
      </c>
      <c r="V14" s="4">
        <f>SQRT(SUMXMY2(E6:U6, $E$12:$U$12))</f>
        <v>4.1231056256176606</v>
      </c>
      <c r="W14" s="4">
        <f t="shared" si="0"/>
        <v>4.358898943540674</v>
      </c>
      <c r="X14" s="4">
        <f t="shared" si="1"/>
        <v>0</v>
      </c>
      <c r="Y14" s="4" t="s">
        <v>58</v>
      </c>
    </row>
    <row r="15" spans="1:25" x14ac:dyDescent="0.35">
      <c r="A15" s="2" t="s">
        <v>7</v>
      </c>
      <c r="B15" s="2" t="s">
        <v>12</v>
      </c>
      <c r="C15" s="3">
        <v>7</v>
      </c>
      <c r="D15" s="3">
        <v>3.8</v>
      </c>
      <c r="E15" s="8">
        <v>3</v>
      </c>
      <c r="F15" s="8">
        <v>2</v>
      </c>
      <c r="G15" s="8">
        <v>2</v>
      </c>
      <c r="H15" s="8">
        <v>3</v>
      </c>
      <c r="I15" s="8">
        <v>1</v>
      </c>
      <c r="J15" s="8">
        <v>2</v>
      </c>
      <c r="K15" s="8">
        <v>3</v>
      </c>
      <c r="L15" s="8">
        <v>2</v>
      </c>
      <c r="M15" s="8">
        <v>2</v>
      </c>
      <c r="N15" s="8">
        <v>2</v>
      </c>
      <c r="O15" s="8">
        <v>1</v>
      </c>
      <c r="P15" s="8">
        <v>3</v>
      </c>
      <c r="Q15" s="8">
        <v>3</v>
      </c>
      <c r="R15" s="4">
        <v>3</v>
      </c>
      <c r="S15" s="4">
        <v>3</v>
      </c>
      <c r="T15" s="4">
        <v>3</v>
      </c>
      <c r="U15" s="4">
        <v>2</v>
      </c>
      <c r="V15" s="4">
        <f>SQRT(SUMXMY2(E7:U7, $E$12:$U$12))</f>
        <v>4</v>
      </c>
      <c r="W15" s="4">
        <f t="shared" si="0"/>
        <v>3.7416573867739413</v>
      </c>
      <c r="X15" s="4">
        <f>SQRT(SUMXMY2(E7:U7, $E$14:$U$14))</f>
        <v>5</v>
      </c>
      <c r="Y15" s="4" t="s">
        <v>53</v>
      </c>
    </row>
    <row r="16" spans="1:25" x14ac:dyDescent="0.35">
      <c r="A16" s="2" t="s">
        <v>8</v>
      </c>
      <c r="B16" s="2" t="s">
        <v>13</v>
      </c>
      <c r="C16" s="3">
        <v>5</v>
      </c>
      <c r="D16" s="3">
        <v>3.5</v>
      </c>
      <c r="E16" s="8">
        <v>2</v>
      </c>
      <c r="F16" s="8">
        <v>3</v>
      </c>
      <c r="G16" s="8">
        <v>3</v>
      </c>
      <c r="H16" s="8">
        <v>1</v>
      </c>
      <c r="I16" s="8">
        <v>2</v>
      </c>
      <c r="J16" s="8">
        <v>3</v>
      </c>
      <c r="K16" s="8">
        <v>3</v>
      </c>
      <c r="L16" s="8">
        <v>2</v>
      </c>
      <c r="M16" s="8">
        <v>1</v>
      </c>
      <c r="N16" s="8">
        <v>2</v>
      </c>
      <c r="O16" s="8">
        <v>1</v>
      </c>
      <c r="P16" s="8">
        <v>3</v>
      </c>
      <c r="Q16" s="8">
        <v>2</v>
      </c>
      <c r="R16" s="4">
        <v>2</v>
      </c>
      <c r="S16" s="4">
        <v>1</v>
      </c>
      <c r="T16" s="4">
        <v>1</v>
      </c>
      <c r="U16" s="4">
        <v>2</v>
      </c>
      <c r="V16" s="4">
        <f>SQRT(SUMXMY2(E8:U8, $E$12:$U$12))</f>
        <v>4.4721359549995796</v>
      </c>
      <c r="W16" s="4">
        <f t="shared" si="0"/>
        <v>4.6904157598234297</v>
      </c>
      <c r="X16" s="4">
        <f t="shared" si="1"/>
        <v>4.7958315233127191</v>
      </c>
      <c r="Y16" s="4" t="s">
        <v>49</v>
      </c>
    </row>
    <row r="18" spans="1:25" x14ac:dyDescent="0.35">
      <c r="A18" s="1" t="s">
        <v>0</v>
      </c>
      <c r="B18" s="1" t="s">
        <v>1</v>
      </c>
      <c r="C18" s="1" t="s">
        <v>2</v>
      </c>
      <c r="D18" s="1" t="s">
        <v>3</v>
      </c>
      <c r="E18" s="7" t="s">
        <v>39</v>
      </c>
      <c r="F18" s="7" t="s">
        <v>19</v>
      </c>
      <c r="G18" s="7" t="s">
        <v>24</v>
      </c>
      <c r="H18" s="7" t="s">
        <v>20</v>
      </c>
      <c r="I18" s="7" t="s">
        <v>25</v>
      </c>
      <c r="J18" s="7" t="s">
        <v>27</v>
      </c>
      <c r="K18" s="7" t="s">
        <v>14</v>
      </c>
      <c r="L18" s="7" t="s">
        <v>26</v>
      </c>
      <c r="M18" s="7" t="s">
        <v>15</v>
      </c>
      <c r="N18" s="7" t="s">
        <v>21</v>
      </c>
      <c r="O18" s="7" t="s">
        <v>16</v>
      </c>
      <c r="P18" s="7" t="s">
        <v>17</v>
      </c>
      <c r="Q18" s="7" t="s">
        <v>18</v>
      </c>
      <c r="R18" s="6" t="s">
        <v>30</v>
      </c>
      <c r="S18" s="9" t="s">
        <v>31</v>
      </c>
      <c r="T18" s="10" t="s">
        <v>32</v>
      </c>
      <c r="U18" s="11" t="s">
        <v>33</v>
      </c>
      <c r="Y18" s="30"/>
    </row>
    <row r="19" spans="1:25" x14ac:dyDescent="0.35">
      <c r="A19" s="2" t="s">
        <v>4</v>
      </c>
      <c r="B19" s="2" t="s">
        <v>9</v>
      </c>
      <c r="C19" s="3">
        <v>7</v>
      </c>
      <c r="D19" s="3">
        <v>3.4</v>
      </c>
      <c r="E19" s="4">
        <f>AVERAGEIFS(E$12:E$16,$Y$12:$Y$16, "C1")</f>
        <v>1.5</v>
      </c>
      <c r="F19" s="4">
        <f>AVERAGEIFS(F$12:F$16,$Y$12:$Y$16, "C1")</f>
        <v>3</v>
      </c>
      <c r="G19" s="4">
        <f t="shared" ref="G19:U19" si="2">AVERAGEIFS(G$12:G$16,$Y$12:$Y$16, "C1")</f>
        <v>3</v>
      </c>
      <c r="H19" s="4">
        <f t="shared" si="2"/>
        <v>2</v>
      </c>
      <c r="I19" s="4">
        <f t="shared" si="2"/>
        <v>2.5</v>
      </c>
      <c r="J19" s="4">
        <f t="shared" si="2"/>
        <v>3</v>
      </c>
      <c r="K19" s="4">
        <f t="shared" si="2"/>
        <v>2.5</v>
      </c>
      <c r="L19" s="4">
        <f t="shared" si="2"/>
        <v>2</v>
      </c>
      <c r="M19" s="4">
        <f t="shared" si="2"/>
        <v>2</v>
      </c>
      <c r="N19" s="4">
        <f t="shared" si="2"/>
        <v>2</v>
      </c>
      <c r="O19" s="4">
        <f t="shared" si="2"/>
        <v>1.5</v>
      </c>
      <c r="P19" s="4">
        <f t="shared" si="2"/>
        <v>3</v>
      </c>
      <c r="Q19" s="4">
        <f t="shared" si="2"/>
        <v>2</v>
      </c>
      <c r="R19" s="4">
        <f t="shared" si="2"/>
        <v>2</v>
      </c>
      <c r="S19" s="4">
        <f t="shared" si="2"/>
        <v>2</v>
      </c>
      <c r="T19" s="4">
        <f t="shared" si="2"/>
        <v>2</v>
      </c>
      <c r="U19" s="4">
        <f t="shared" si="2"/>
        <v>2</v>
      </c>
      <c r="Y19" s="30"/>
    </row>
    <row r="20" spans="1:25" x14ac:dyDescent="0.35">
      <c r="A20" s="2" t="s">
        <v>5</v>
      </c>
      <c r="B20" s="2" t="s">
        <v>10</v>
      </c>
      <c r="C20" s="3">
        <v>7</v>
      </c>
      <c r="D20" s="3">
        <v>3.7</v>
      </c>
      <c r="E20" s="8">
        <f>AVERAGEIFS(E$12:E$16,$Y$12:$Y$16, "C2")</f>
        <v>3</v>
      </c>
      <c r="F20" s="8">
        <f t="shared" ref="F20:U20" si="3">AVERAGEIFS(F$12:F$16,$Y$12:$Y$16, "C2")</f>
        <v>2.5</v>
      </c>
      <c r="G20" s="8">
        <f t="shared" si="3"/>
        <v>2</v>
      </c>
      <c r="H20" s="8">
        <f t="shared" si="3"/>
        <v>2.5</v>
      </c>
      <c r="I20" s="8">
        <f t="shared" si="3"/>
        <v>2</v>
      </c>
      <c r="J20" s="8">
        <f t="shared" si="3"/>
        <v>2</v>
      </c>
      <c r="K20" s="8">
        <f t="shared" si="3"/>
        <v>3</v>
      </c>
      <c r="L20" s="8">
        <f t="shared" si="3"/>
        <v>2.5</v>
      </c>
      <c r="M20" s="8">
        <f t="shared" si="3"/>
        <v>1.5</v>
      </c>
      <c r="N20" s="8">
        <f t="shared" si="3"/>
        <v>2.5</v>
      </c>
      <c r="O20" s="8">
        <f t="shared" si="3"/>
        <v>2</v>
      </c>
      <c r="P20" s="8">
        <f t="shared" si="3"/>
        <v>3</v>
      </c>
      <c r="Q20" s="8">
        <f t="shared" si="3"/>
        <v>3</v>
      </c>
      <c r="R20" s="8">
        <f t="shared" si="3"/>
        <v>3</v>
      </c>
      <c r="S20" s="8">
        <f t="shared" si="3"/>
        <v>3</v>
      </c>
      <c r="T20" s="8">
        <f t="shared" si="3"/>
        <v>3</v>
      </c>
      <c r="U20" s="8">
        <f t="shared" si="3"/>
        <v>2.5</v>
      </c>
      <c r="Y20" s="30"/>
    </row>
    <row r="21" spans="1:25" x14ac:dyDescent="0.35">
      <c r="A21" s="2" t="s">
        <v>6</v>
      </c>
      <c r="B21" s="2" t="s">
        <v>11</v>
      </c>
      <c r="C21" s="3">
        <v>7</v>
      </c>
      <c r="D21" s="3">
        <v>3.3</v>
      </c>
      <c r="E21" s="8">
        <f>AVERAGEIFS(E$12:E$16,$Y$12:$Y$16, "C3")</f>
        <v>2</v>
      </c>
      <c r="F21" s="8">
        <f t="shared" ref="F21:U21" si="4">AVERAGEIFS(F$12:F$16,$Y$12:$Y$16, "C3")</f>
        <v>3</v>
      </c>
      <c r="G21" s="8">
        <f t="shared" si="4"/>
        <v>2</v>
      </c>
      <c r="H21" s="8">
        <f t="shared" si="4"/>
        <v>2</v>
      </c>
      <c r="I21" s="8">
        <f t="shared" si="4"/>
        <v>2</v>
      </c>
      <c r="J21" s="8">
        <f t="shared" si="4"/>
        <v>1</v>
      </c>
      <c r="K21" s="8">
        <f t="shared" si="4"/>
        <v>2</v>
      </c>
      <c r="L21" s="8">
        <f t="shared" si="4"/>
        <v>3</v>
      </c>
      <c r="M21" s="8">
        <f t="shared" si="4"/>
        <v>3</v>
      </c>
      <c r="N21" s="8">
        <f t="shared" si="4"/>
        <v>3</v>
      </c>
      <c r="O21" s="8">
        <f t="shared" si="4"/>
        <v>3</v>
      </c>
      <c r="P21" s="8">
        <f t="shared" si="4"/>
        <v>2</v>
      </c>
      <c r="Q21" s="8">
        <f t="shared" si="4"/>
        <v>1</v>
      </c>
      <c r="R21" s="8">
        <f t="shared" si="4"/>
        <v>1</v>
      </c>
      <c r="S21" s="8">
        <f t="shared" si="4"/>
        <v>2</v>
      </c>
      <c r="T21" s="8">
        <f t="shared" si="4"/>
        <v>2</v>
      </c>
      <c r="U21" s="8">
        <f t="shared" si="4"/>
        <v>3</v>
      </c>
      <c r="Y21" s="30"/>
    </row>
    <row r="22" spans="1:25" x14ac:dyDescent="0.35">
      <c r="D22" s="31"/>
    </row>
    <row r="23" spans="1:25" x14ac:dyDescent="0.35">
      <c r="A23" s="1" t="s">
        <v>0</v>
      </c>
      <c r="B23" s="1" t="s">
        <v>1</v>
      </c>
      <c r="C23" s="1" t="s">
        <v>2</v>
      </c>
      <c r="D23" s="1" t="s">
        <v>3</v>
      </c>
      <c r="E23" s="7" t="s">
        <v>39</v>
      </c>
      <c r="F23" s="7" t="s">
        <v>19</v>
      </c>
      <c r="G23" s="7" t="s">
        <v>24</v>
      </c>
      <c r="H23" s="7" t="s">
        <v>20</v>
      </c>
      <c r="I23" s="7" t="s">
        <v>25</v>
      </c>
      <c r="J23" s="7" t="s">
        <v>27</v>
      </c>
      <c r="K23" s="7" t="s">
        <v>14</v>
      </c>
      <c r="L23" s="7" t="s">
        <v>26</v>
      </c>
      <c r="M23" s="7" t="s">
        <v>15</v>
      </c>
      <c r="N23" s="7" t="s">
        <v>21</v>
      </c>
      <c r="O23" s="7" t="s">
        <v>16</v>
      </c>
      <c r="P23" s="7" t="s">
        <v>17</v>
      </c>
      <c r="Q23" s="7" t="s">
        <v>18</v>
      </c>
      <c r="R23" s="6" t="s">
        <v>30</v>
      </c>
      <c r="S23" s="9" t="s">
        <v>31</v>
      </c>
      <c r="T23" s="10" t="s">
        <v>32</v>
      </c>
      <c r="U23" s="11" t="s">
        <v>33</v>
      </c>
      <c r="V23" s="14" t="s">
        <v>61</v>
      </c>
      <c r="W23" s="14" t="s">
        <v>62</v>
      </c>
      <c r="X23" s="14" t="s">
        <v>63</v>
      </c>
      <c r="Y23" s="4" t="s">
        <v>47</v>
      </c>
    </row>
    <row r="24" spans="1:25" x14ac:dyDescent="0.35">
      <c r="A24" s="2" t="s">
        <v>4</v>
      </c>
      <c r="B24" s="2" t="s">
        <v>9</v>
      </c>
      <c r="C24" s="3">
        <v>7</v>
      </c>
      <c r="D24" s="3">
        <v>3.4</v>
      </c>
      <c r="E24" s="8">
        <v>1</v>
      </c>
      <c r="F24" s="8">
        <v>3</v>
      </c>
      <c r="G24" s="8">
        <v>3</v>
      </c>
      <c r="H24" s="8">
        <v>3</v>
      </c>
      <c r="I24" s="8">
        <v>3</v>
      </c>
      <c r="J24" s="8">
        <v>3</v>
      </c>
      <c r="K24" s="8">
        <v>2</v>
      </c>
      <c r="L24" s="8">
        <v>2</v>
      </c>
      <c r="M24" s="8">
        <v>3</v>
      </c>
      <c r="N24" s="8">
        <v>2</v>
      </c>
      <c r="O24" s="8">
        <v>2</v>
      </c>
      <c r="P24" s="8">
        <v>3</v>
      </c>
      <c r="Q24" s="8">
        <v>2</v>
      </c>
      <c r="R24" s="4">
        <v>2</v>
      </c>
      <c r="S24" s="4">
        <v>3</v>
      </c>
      <c r="T24" s="4">
        <v>3</v>
      </c>
      <c r="U24" s="4">
        <v>2</v>
      </c>
      <c r="V24" s="4">
        <f>SQRT(SUMXMY2(E24:U24, $E$19:$U$19))</f>
        <v>2.2360679774997898</v>
      </c>
      <c r="W24" s="4">
        <f>SQRT(SUMXMY2(F24:V24, $E$20:$U$20))</f>
        <v>2.8843821023749698</v>
      </c>
      <c r="X24" s="4">
        <f>SQRT(SUMXMY2(G24:W24, $E$21:$U$21))</f>
        <v>4.0086276440013817</v>
      </c>
      <c r="Y24" s="4" t="s">
        <v>49</v>
      </c>
    </row>
    <row r="25" spans="1:25" x14ac:dyDescent="0.35">
      <c r="A25" s="2" t="s">
        <v>5</v>
      </c>
      <c r="B25" s="2" t="s">
        <v>10</v>
      </c>
      <c r="C25" s="3">
        <v>7</v>
      </c>
      <c r="D25" s="3">
        <v>3.7</v>
      </c>
      <c r="E25" s="8">
        <v>3</v>
      </c>
      <c r="F25" s="8">
        <v>3</v>
      </c>
      <c r="G25" s="8">
        <v>2</v>
      </c>
      <c r="H25" s="8">
        <v>2</v>
      </c>
      <c r="I25" s="8">
        <v>3</v>
      </c>
      <c r="J25" s="8">
        <v>2</v>
      </c>
      <c r="K25" s="8">
        <v>3</v>
      </c>
      <c r="L25" s="8">
        <v>3</v>
      </c>
      <c r="M25" s="8">
        <v>1</v>
      </c>
      <c r="N25" s="8">
        <v>3</v>
      </c>
      <c r="O25" s="8">
        <v>3</v>
      </c>
      <c r="P25" s="8">
        <v>3</v>
      </c>
      <c r="Q25" s="8">
        <v>3</v>
      </c>
      <c r="R25" s="4">
        <v>3</v>
      </c>
      <c r="S25" s="4">
        <v>3</v>
      </c>
      <c r="T25" s="4">
        <v>3</v>
      </c>
      <c r="U25" s="4">
        <v>3</v>
      </c>
      <c r="V25" s="4">
        <f t="shared" ref="V25:V28" si="5">SQRT(SUMXMY2(E25:U25, $E$19:$U$19))</f>
        <v>3.872983346207417</v>
      </c>
      <c r="W25" s="4">
        <f t="shared" ref="W25:W28" si="6">SQRT(SUMXMY2(F25:V25, $E$20:$U$20))</f>
        <v>3.0224300271408957</v>
      </c>
      <c r="X25" s="4">
        <f t="shared" ref="X25:X28" si="7">SQRT(SUMXMY2(G25:W25, $E$21:$U$21))</f>
        <v>4.6377332524939243</v>
      </c>
      <c r="Y25" s="4" t="s">
        <v>53</v>
      </c>
    </row>
    <row r="26" spans="1:25" x14ac:dyDescent="0.35">
      <c r="A26" s="2" t="s">
        <v>6</v>
      </c>
      <c r="B26" s="2" t="s">
        <v>11</v>
      </c>
      <c r="C26" s="3">
        <v>7</v>
      </c>
      <c r="D26" s="3">
        <v>3.3</v>
      </c>
      <c r="E26" s="8">
        <v>2</v>
      </c>
      <c r="F26" s="8">
        <v>3</v>
      </c>
      <c r="G26" s="8">
        <v>2</v>
      </c>
      <c r="H26" s="8">
        <v>2</v>
      </c>
      <c r="I26" s="8">
        <v>2</v>
      </c>
      <c r="J26" s="8">
        <v>1</v>
      </c>
      <c r="K26" s="8">
        <v>2</v>
      </c>
      <c r="L26" s="8">
        <v>3</v>
      </c>
      <c r="M26" s="8">
        <v>3</v>
      </c>
      <c r="N26" s="8">
        <v>3</v>
      </c>
      <c r="O26" s="8">
        <v>3</v>
      </c>
      <c r="P26" s="8">
        <v>2</v>
      </c>
      <c r="Q26" s="8">
        <v>1</v>
      </c>
      <c r="R26" s="4">
        <v>1</v>
      </c>
      <c r="S26" s="4">
        <v>2</v>
      </c>
      <c r="T26" s="4">
        <v>2</v>
      </c>
      <c r="U26" s="4">
        <v>3</v>
      </c>
      <c r="V26" s="4">
        <f t="shared" si="5"/>
        <v>3.872983346207417</v>
      </c>
      <c r="W26" s="4">
        <f t="shared" si="6"/>
        <v>4.0168499186505482</v>
      </c>
      <c r="X26" s="4">
        <f t="shared" si="7"/>
        <v>4.5323338769589734</v>
      </c>
      <c r="Y26" s="4" t="s">
        <v>49</v>
      </c>
    </row>
    <row r="27" spans="1:25" x14ac:dyDescent="0.35">
      <c r="A27" s="2" t="s">
        <v>7</v>
      </c>
      <c r="B27" s="2" t="s">
        <v>12</v>
      </c>
      <c r="C27" s="3">
        <v>7</v>
      </c>
      <c r="D27" s="3">
        <v>3.8</v>
      </c>
      <c r="E27" s="8">
        <v>3</v>
      </c>
      <c r="F27" s="8">
        <v>2</v>
      </c>
      <c r="G27" s="8">
        <v>2</v>
      </c>
      <c r="H27" s="8">
        <v>3</v>
      </c>
      <c r="I27" s="8">
        <v>1</v>
      </c>
      <c r="J27" s="8">
        <v>2</v>
      </c>
      <c r="K27" s="8">
        <v>3</v>
      </c>
      <c r="L27" s="8">
        <v>2</v>
      </c>
      <c r="M27" s="8">
        <v>2</v>
      </c>
      <c r="N27" s="8">
        <v>2</v>
      </c>
      <c r="O27" s="8">
        <v>1</v>
      </c>
      <c r="P27" s="8">
        <v>3</v>
      </c>
      <c r="Q27" s="8">
        <v>3</v>
      </c>
      <c r="R27" s="4">
        <v>3</v>
      </c>
      <c r="S27" s="4">
        <v>3</v>
      </c>
      <c r="T27" s="4">
        <v>3</v>
      </c>
      <c r="U27" s="4">
        <v>2</v>
      </c>
      <c r="V27" s="4">
        <f>SQRT(SUMXMY2(E27:U27, $E$19:$U$19))</f>
        <v>3.6055512754639891</v>
      </c>
      <c r="W27" s="4">
        <f t="shared" si="6"/>
        <v>3.5316063799183586</v>
      </c>
      <c r="X27" s="4">
        <f t="shared" si="7"/>
        <v>4.4565008965907262</v>
      </c>
      <c r="Y27" s="4" t="s">
        <v>53</v>
      </c>
    </row>
    <row r="28" spans="1:25" x14ac:dyDescent="0.35">
      <c r="A28" s="2" t="s">
        <v>8</v>
      </c>
      <c r="B28" s="2" t="s">
        <v>13</v>
      </c>
      <c r="C28" s="3">
        <v>5</v>
      </c>
      <c r="D28" s="3">
        <v>3.5</v>
      </c>
      <c r="E28" s="8">
        <v>2</v>
      </c>
      <c r="F28" s="8">
        <v>3</v>
      </c>
      <c r="G28" s="8">
        <v>3</v>
      </c>
      <c r="H28" s="8">
        <v>1</v>
      </c>
      <c r="I28" s="8">
        <v>2</v>
      </c>
      <c r="J28" s="8">
        <v>3</v>
      </c>
      <c r="K28" s="8">
        <v>3</v>
      </c>
      <c r="L28" s="8">
        <v>2</v>
      </c>
      <c r="M28" s="8">
        <v>1</v>
      </c>
      <c r="N28" s="8">
        <v>2</v>
      </c>
      <c r="O28" s="8">
        <v>1</v>
      </c>
      <c r="P28" s="8">
        <v>3</v>
      </c>
      <c r="Q28" s="8">
        <v>2</v>
      </c>
      <c r="R28" s="4">
        <v>2</v>
      </c>
      <c r="S28" s="4">
        <v>1</v>
      </c>
      <c r="T28" s="4">
        <v>1</v>
      </c>
      <c r="U28" s="4">
        <v>2</v>
      </c>
      <c r="V28" s="4">
        <f t="shared" si="5"/>
        <v>2.2360679774997898</v>
      </c>
      <c r="W28" s="4">
        <f t="shared" si="6"/>
        <v>4.6173217466948362</v>
      </c>
      <c r="X28" s="4">
        <f t="shared" si="7"/>
        <v>4.2037432988151027</v>
      </c>
      <c r="Y28" s="4" t="s">
        <v>49</v>
      </c>
    </row>
    <row r="30" spans="1:25" x14ac:dyDescent="0.35">
      <c r="A30" s="1" t="s">
        <v>0</v>
      </c>
      <c r="B30" s="1" t="s">
        <v>1</v>
      </c>
      <c r="C30" s="1" t="s">
        <v>2</v>
      </c>
      <c r="D30" s="1" t="s">
        <v>3</v>
      </c>
      <c r="E30" s="7" t="s">
        <v>39</v>
      </c>
      <c r="F30" s="7" t="s">
        <v>19</v>
      </c>
      <c r="G30" s="7" t="s">
        <v>24</v>
      </c>
      <c r="H30" s="7" t="s">
        <v>20</v>
      </c>
      <c r="I30" s="7" t="s">
        <v>25</v>
      </c>
      <c r="J30" s="7" t="s">
        <v>27</v>
      </c>
      <c r="K30" s="7" t="s">
        <v>14</v>
      </c>
      <c r="L30" s="7" t="s">
        <v>26</v>
      </c>
      <c r="M30" s="7" t="s">
        <v>15</v>
      </c>
      <c r="N30" s="7" t="s">
        <v>21</v>
      </c>
      <c r="O30" s="7" t="s">
        <v>16</v>
      </c>
      <c r="P30" s="7" t="s">
        <v>17</v>
      </c>
      <c r="Q30" s="7" t="s">
        <v>18</v>
      </c>
      <c r="R30" s="6" t="s">
        <v>30</v>
      </c>
      <c r="S30" s="9" t="s">
        <v>31</v>
      </c>
      <c r="T30" s="10" t="s">
        <v>32</v>
      </c>
      <c r="U30" s="11" t="s">
        <v>33</v>
      </c>
    </row>
    <row r="31" spans="1:25" x14ac:dyDescent="0.35">
      <c r="A31" s="2" t="s">
        <v>4</v>
      </c>
      <c r="B31" s="2" t="s">
        <v>9</v>
      </c>
      <c r="C31" s="3">
        <v>7</v>
      </c>
      <c r="D31" s="3">
        <v>3.4</v>
      </c>
      <c r="E31" s="4">
        <f>AVERAGEIFS(E$24:E$28,$Y$24:$Y$28, "C1")</f>
        <v>1.6666666666666667</v>
      </c>
      <c r="F31" s="4">
        <f t="shared" ref="F31:U31" si="8">AVERAGEIFS(F$24:F$28,$Y$24:$Y$28, "C1")</f>
        <v>3</v>
      </c>
      <c r="G31" s="4">
        <f t="shared" si="8"/>
        <v>2.6666666666666665</v>
      </c>
      <c r="H31" s="4">
        <f t="shared" si="8"/>
        <v>2</v>
      </c>
      <c r="I31" s="4">
        <f t="shared" si="8"/>
        <v>2.3333333333333335</v>
      </c>
      <c r="J31" s="4">
        <f t="shared" si="8"/>
        <v>2.3333333333333335</v>
      </c>
      <c r="K31" s="4">
        <f t="shared" si="8"/>
        <v>2.3333333333333335</v>
      </c>
      <c r="L31" s="4">
        <f t="shared" si="8"/>
        <v>2.3333333333333335</v>
      </c>
      <c r="M31" s="4">
        <f t="shared" si="8"/>
        <v>2.3333333333333335</v>
      </c>
      <c r="N31" s="4">
        <f t="shared" si="8"/>
        <v>2.3333333333333335</v>
      </c>
      <c r="O31" s="4">
        <f t="shared" si="8"/>
        <v>2</v>
      </c>
      <c r="P31" s="4">
        <f t="shared" si="8"/>
        <v>2.6666666666666665</v>
      </c>
      <c r="Q31" s="4">
        <f t="shared" si="8"/>
        <v>1.6666666666666667</v>
      </c>
      <c r="R31" s="4">
        <f t="shared" si="8"/>
        <v>1.6666666666666667</v>
      </c>
      <c r="S31" s="4">
        <f t="shared" si="8"/>
        <v>2</v>
      </c>
      <c r="T31" s="4">
        <f t="shared" si="8"/>
        <v>2</v>
      </c>
      <c r="U31" s="4">
        <f t="shared" si="8"/>
        <v>2.3333333333333335</v>
      </c>
    </row>
    <row r="32" spans="1:25" x14ac:dyDescent="0.35">
      <c r="A32" s="2" t="s">
        <v>5</v>
      </c>
      <c r="B32" s="2" t="s">
        <v>10</v>
      </c>
      <c r="C32" s="3">
        <v>7</v>
      </c>
      <c r="D32" s="3">
        <v>3.7</v>
      </c>
      <c r="E32" s="8">
        <f>AVERAGEIFS(E$24:E$28,$Y$24:$Y$28, "C2")</f>
        <v>3</v>
      </c>
      <c r="F32" s="8">
        <f t="shared" ref="F32:U32" si="9">AVERAGEIFS(F$24:F$28,$Y$24:$Y$28, "C2")</f>
        <v>2.5</v>
      </c>
      <c r="G32" s="8">
        <f t="shared" si="9"/>
        <v>2</v>
      </c>
      <c r="H32" s="8">
        <f t="shared" si="9"/>
        <v>2.5</v>
      </c>
      <c r="I32" s="8">
        <f t="shared" si="9"/>
        <v>2</v>
      </c>
      <c r="J32" s="8">
        <f t="shared" si="9"/>
        <v>2</v>
      </c>
      <c r="K32" s="8">
        <f t="shared" si="9"/>
        <v>3</v>
      </c>
      <c r="L32" s="8">
        <f t="shared" si="9"/>
        <v>2.5</v>
      </c>
      <c r="M32" s="8">
        <f t="shared" si="9"/>
        <v>1.5</v>
      </c>
      <c r="N32" s="8">
        <f t="shared" si="9"/>
        <v>2.5</v>
      </c>
      <c r="O32" s="8">
        <f t="shared" si="9"/>
        <v>2</v>
      </c>
      <c r="P32" s="8">
        <f t="shared" si="9"/>
        <v>3</v>
      </c>
      <c r="Q32" s="8">
        <f t="shared" si="9"/>
        <v>3</v>
      </c>
      <c r="R32" s="8">
        <f t="shared" si="9"/>
        <v>3</v>
      </c>
      <c r="S32" s="8">
        <f t="shared" si="9"/>
        <v>3</v>
      </c>
      <c r="T32" s="8">
        <f t="shared" si="9"/>
        <v>3</v>
      </c>
      <c r="U32" s="8">
        <f t="shared" si="9"/>
        <v>2.5</v>
      </c>
    </row>
    <row r="33" spans="1:25" x14ac:dyDescent="0.35">
      <c r="A33" s="2" t="s">
        <v>6</v>
      </c>
      <c r="B33" s="2" t="s">
        <v>11</v>
      </c>
      <c r="C33" s="3">
        <v>7</v>
      </c>
      <c r="D33" s="3">
        <v>3.3</v>
      </c>
      <c r="E33" s="8"/>
      <c r="F33" s="8"/>
      <c r="G33" s="8"/>
      <c r="H33" s="8"/>
      <c r="I33" s="8"/>
      <c r="J33" s="8"/>
      <c r="K33" s="8"/>
      <c r="L33" s="8"/>
      <c r="M33" s="8"/>
      <c r="N33" s="8"/>
      <c r="O33" s="8"/>
      <c r="P33" s="8"/>
      <c r="Q33" s="8"/>
      <c r="R33" s="8"/>
      <c r="S33" s="8"/>
      <c r="T33" s="8"/>
      <c r="U33" s="8"/>
    </row>
    <row r="35" spans="1:25" x14ac:dyDescent="0.35">
      <c r="A35" s="1" t="s">
        <v>0</v>
      </c>
      <c r="B35" s="1" t="s">
        <v>1</v>
      </c>
      <c r="C35" s="1" t="s">
        <v>2</v>
      </c>
      <c r="D35" s="1" t="s">
        <v>3</v>
      </c>
      <c r="E35" s="7" t="s">
        <v>39</v>
      </c>
      <c r="F35" s="7" t="s">
        <v>19</v>
      </c>
      <c r="G35" s="7" t="s">
        <v>24</v>
      </c>
      <c r="H35" s="7" t="s">
        <v>20</v>
      </c>
      <c r="I35" s="7" t="s">
        <v>25</v>
      </c>
      <c r="J35" s="7" t="s">
        <v>27</v>
      </c>
      <c r="K35" s="7" t="s">
        <v>14</v>
      </c>
      <c r="L35" s="7" t="s">
        <v>26</v>
      </c>
      <c r="M35" s="7" t="s">
        <v>15</v>
      </c>
      <c r="N35" s="7" t="s">
        <v>21</v>
      </c>
      <c r="O35" s="7" t="s">
        <v>16</v>
      </c>
      <c r="P35" s="7" t="s">
        <v>17</v>
      </c>
      <c r="Q35" s="7" t="s">
        <v>18</v>
      </c>
      <c r="R35" s="6" t="s">
        <v>30</v>
      </c>
      <c r="S35" s="9" t="s">
        <v>31</v>
      </c>
      <c r="T35" s="10" t="s">
        <v>32</v>
      </c>
      <c r="U35" s="11" t="s">
        <v>33</v>
      </c>
      <c r="V35" s="14" t="s">
        <v>61</v>
      </c>
      <c r="W35" s="14" t="s">
        <v>62</v>
      </c>
      <c r="X35" s="14" t="s">
        <v>63</v>
      </c>
      <c r="Y35" s="4" t="s">
        <v>47</v>
      </c>
    </row>
    <row r="36" spans="1:25" x14ac:dyDescent="0.35">
      <c r="A36" s="2" t="s">
        <v>4</v>
      </c>
      <c r="B36" s="2" t="s">
        <v>9</v>
      </c>
      <c r="C36" s="3">
        <v>7</v>
      </c>
      <c r="D36" s="3">
        <v>3.4</v>
      </c>
      <c r="E36" s="8">
        <v>1</v>
      </c>
      <c r="F36" s="8">
        <v>3</v>
      </c>
      <c r="G36" s="8">
        <v>3</v>
      </c>
      <c r="H36" s="8">
        <v>3</v>
      </c>
      <c r="I36" s="8">
        <v>3</v>
      </c>
      <c r="J36" s="8">
        <v>3</v>
      </c>
      <c r="K36" s="8">
        <v>2</v>
      </c>
      <c r="L36" s="8">
        <v>2</v>
      </c>
      <c r="M36" s="8">
        <v>3</v>
      </c>
      <c r="N36" s="8">
        <v>2</v>
      </c>
      <c r="O36" s="8">
        <v>2</v>
      </c>
      <c r="P36" s="8">
        <v>3</v>
      </c>
      <c r="Q36" s="8">
        <v>2</v>
      </c>
      <c r="R36" s="4">
        <v>2</v>
      </c>
      <c r="S36" s="4">
        <v>3</v>
      </c>
      <c r="T36" s="4">
        <v>3</v>
      </c>
      <c r="U36" s="4">
        <v>2</v>
      </c>
      <c r="V36" s="4">
        <f>SQRT(SUMXMY2(E36:U36, $E$31:$U$31))</f>
        <v>2.3804761428476167</v>
      </c>
      <c r="W36" s="4">
        <f>SQRT(SUMXMY2(E36:U36, $E$32:$U$32))</f>
        <v>3.6742346141747673</v>
      </c>
      <c r="X36" s="4"/>
      <c r="Y36" s="4" t="s">
        <v>49</v>
      </c>
    </row>
    <row r="37" spans="1:25" x14ac:dyDescent="0.35">
      <c r="A37" s="2" t="s">
        <v>5</v>
      </c>
      <c r="B37" s="2" t="s">
        <v>10</v>
      </c>
      <c r="C37" s="3">
        <v>7</v>
      </c>
      <c r="D37" s="3">
        <v>3.7</v>
      </c>
      <c r="E37" s="8">
        <v>3</v>
      </c>
      <c r="F37" s="8">
        <v>3</v>
      </c>
      <c r="G37" s="8">
        <v>2</v>
      </c>
      <c r="H37" s="8">
        <v>2</v>
      </c>
      <c r="I37" s="8">
        <v>3</v>
      </c>
      <c r="J37" s="8">
        <v>2</v>
      </c>
      <c r="K37" s="8">
        <v>3</v>
      </c>
      <c r="L37" s="8">
        <v>3</v>
      </c>
      <c r="M37" s="8">
        <v>1</v>
      </c>
      <c r="N37" s="8">
        <v>3</v>
      </c>
      <c r="O37" s="8">
        <v>3</v>
      </c>
      <c r="P37" s="8">
        <v>3</v>
      </c>
      <c r="Q37" s="8">
        <v>3</v>
      </c>
      <c r="R37" s="4">
        <v>3</v>
      </c>
      <c r="S37" s="4">
        <v>3</v>
      </c>
      <c r="T37" s="4">
        <v>3</v>
      </c>
      <c r="U37" s="4">
        <v>3</v>
      </c>
      <c r="V37" s="4">
        <f t="shared" ref="V37:V40" si="10">SQRT(SUMXMY2(E37:U37, $E$31:$U$31))</f>
        <v>3.6055512754639896</v>
      </c>
      <c r="W37" s="4">
        <f t="shared" ref="W37:W40" si="11">SQRT(SUMXMY2(E37:U37, $E$32:$U$32))</f>
        <v>1.8708286933869707</v>
      </c>
      <c r="X37" s="4"/>
      <c r="Y37" s="4" t="s">
        <v>53</v>
      </c>
    </row>
    <row r="38" spans="1:25" x14ac:dyDescent="0.35">
      <c r="A38" s="2" t="s">
        <v>6</v>
      </c>
      <c r="B38" s="2" t="s">
        <v>11</v>
      </c>
      <c r="C38" s="3">
        <v>7</v>
      </c>
      <c r="D38" s="3">
        <v>3.3</v>
      </c>
      <c r="E38" s="8">
        <v>2</v>
      </c>
      <c r="F38" s="8">
        <v>3</v>
      </c>
      <c r="G38" s="8">
        <v>2</v>
      </c>
      <c r="H38" s="8">
        <v>2</v>
      </c>
      <c r="I38" s="8">
        <v>2</v>
      </c>
      <c r="J38" s="8">
        <v>1</v>
      </c>
      <c r="K38" s="8">
        <v>2</v>
      </c>
      <c r="L38" s="8">
        <v>3</v>
      </c>
      <c r="M38" s="8">
        <v>3</v>
      </c>
      <c r="N38" s="8">
        <v>3</v>
      </c>
      <c r="O38" s="8">
        <v>3</v>
      </c>
      <c r="P38" s="8">
        <v>2</v>
      </c>
      <c r="Q38" s="8">
        <v>1</v>
      </c>
      <c r="R38" s="4">
        <v>1</v>
      </c>
      <c r="S38" s="4">
        <v>2</v>
      </c>
      <c r="T38" s="4">
        <v>2</v>
      </c>
      <c r="U38" s="4">
        <v>3</v>
      </c>
      <c r="V38" s="4">
        <f t="shared" si="10"/>
        <v>2.5819888974716112</v>
      </c>
      <c r="W38" s="4">
        <f t="shared" si="11"/>
        <v>4.3011626335213133</v>
      </c>
      <c r="X38" s="4"/>
      <c r="Y38" s="4" t="s">
        <v>49</v>
      </c>
    </row>
    <row r="39" spans="1:25" x14ac:dyDescent="0.35">
      <c r="A39" s="2" t="s">
        <v>7</v>
      </c>
      <c r="B39" s="2" t="s">
        <v>12</v>
      </c>
      <c r="C39" s="3">
        <v>7</v>
      </c>
      <c r="D39" s="3">
        <v>3.8</v>
      </c>
      <c r="E39" s="8">
        <v>3</v>
      </c>
      <c r="F39" s="8">
        <v>2</v>
      </c>
      <c r="G39" s="8">
        <v>2</v>
      </c>
      <c r="H39" s="8">
        <v>3</v>
      </c>
      <c r="I39" s="8">
        <v>1</v>
      </c>
      <c r="J39" s="8">
        <v>2</v>
      </c>
      <c r="K39" s="8">
        <v>3</v>
      </c>
      <c r="L39" s="8">
        <v>2</v>
      </c>
      <c r="M39" s="8">
        <v>2</v>
      </c>
      <c r="N39" s="8">
        <v>2</v>
      </c>
      <c r="O39" s="8">
        <v>1</v>
      </c>
      <c r="P39" s="8">
        <v>3</v>
      </c>
      <c r="Q39" s="8">
        <v>3</v>
      </c>
      <c r="R39" s="4">
        <v>3</v>
      </c>
      <c r="S39" s="4">
        <v>3</v>
      </c>
      <c r="T39" s="4">
        <v>3</v>
      </c>
      <c r="U39" s="4">
        <v>2</v>
      </c>
      <c r="V39" s="4">
        <f t="shared" si="10"/>
        <v>3.6968455021364726</v>
      </c>
      <c r="W39" s="4">
        <f t="shared" si="11"/>
        <v>1.8708286933869707</v>
      </c>
      <c r="X39" s="4"/>
      <c r="Y39" s="4" t="s">
        <v>53</v>
      </c>
    </row>
    <row r="40" spans="1:25" x14ac:dyDescent="0.35">
      <c r="A40" s="2" t="s">
        <v>8</v>
      </c>
      <c r="B40" s="2" t="s">
        <v>13</v>
      </c>
      <c r="C40" s="3">
        <v>5</v>
      </c>
      <c r="D40" s="3">
        <v>3.5</v>
      </c>
      <c r="E40" s="8">
        <v>2</v>
      </c>
      <c r="F40" s="8">
        <v>3</v>
      </c>
      <c r="G40" s="8">
        <v>3</v>
      </c>
      <c r="H40" s="8">
        <v>1</v>
      </c>
      <c r="I40" s="8">
        <v>2</v>
      </c>
      <c r="J40" s="8">
        <v>3</v>
      </c>
      <c r="K40" s="8">
        <v>3</v>
      </c>
      <c r="L40" s="8">
        <v>2</v>
      </c>
      <c r="M40" s="8">
        <v>1</v>
      </c>
      <c r="N40" s="8">
        <v>2</v>
      </c>
      <c r="O40" s="8">
        <v>1</v>
      </c>
      <c r="P40" s="8">
        <v>3</v>
      </c>
      <c r="Q40" s="8">
        <v>2</v>
      </c>
      <c r="R40" s="4">
        <v>2</v>
      </c>
      <c r="S40" s="4">
        <v>1</v>
      </c>
      <c r="T40" s="4">
        <v>1</v>
      </c>
      <c r="U40" s="4">
        <v>2</v>
      </c>
      <c r="V40" s="4">
        <f t="shared" si="10"/>
        <v>2.7688746209726918</v>
      </c>
      <c r="W40" s="4">
        <f t="shared" si="11"/>
        <v>4.1833001326703778</v>
      </c>
      <c r="X40" s="4"/>
      <c r="Y40" s="4" t="s">
        <v>49</v>
      </c>
    </row>
    <row r="41" spans="1:25" x14ac:dyDescent="0.35">
      <c r="F41" s="8">
        <v>3</v>
      </c>
    </row>
  </sheetData>
  <mergeCells count="4">
    <mergeCell ref="A2:D2"/>
    <mergeCell ref="E2:K2"/>
    <mergeCell ref="L2:Q2"/>
    <mergeCell ref="R2:U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C3285-D0DE-49F9-8350-420A9D242999}">
  <dimension ref="A3:AO98"/>
  <sheetViews>
    <sheetView topLeftCell="F1" zoomScale="42" zoomScaleNormal="85" workbookViewId="0">
      <selection activeCell="E3" sqref="E3:U3"/>
    </sheetView>
  </sheetViews>
  <sheetFormatPr defaultRowHeight="14.5" x14ac:dyDescent="0.35"/>
  <cols>
    <col min="1" max="1" width="14.6328125" bestFit="1" customWidth="1"/>
    <col min="2" max="2" width="19.26953125" customWidth="1"/>
    <col min="3" max="3" width="20.453125" customWidth="1"/>
    <col min="4" max="4" width="20.08984375" customWidth="1"/>
    <col min="5" max="5" width="33.7265625" bestFit="1" customWidth="1"/>
    <col min="6" max="6" width="17.6328125" bestFit="1" customWidth="1"/>
    <col min="7" max="7" width="41.6328125" bestFit="1" customWidth="1"/>
    <col min="8" max="8" width="18.54296875" bestFit="1" customWidth="1"/>
    <col min="9" max="9" width="32.26953125" bestFit="1" customWidth="1"/>
    <col min="10" max="10" width="14.26953125" bestFit="1" customWidth="1"/>
    <col min="11" max="11" width="13.26953125" bestFit="1" customWidth="1"/>
    <col min="12" max="12" width="42.36328125" bestFit="1" customWidth="1"/>
    <col min="13" max="13" width="16" bestFit="1" customWidth="1"/>
    <col min="14" max="14" width="21.1796875" bestFit="1" customWidth="1"/>
    <col min="15" max="15" width="16.26953125" bestFit="1" customWidth="1"/>
    <col min="16" max="16" width="15.36328125" bestFit="1" customWidth="1"/>
    <col min="17" max="17" width="24.7265625" bestFit="1" customWidth="1"/>
    <col min="18" max="18" width="26.54296875" bestFit="1" customWidth="1"/>
    <col min="19" max="19" width="17.7265625" bestFit="1" customWidth="1"/>
    <col min="20" max="20" width="23.6328125" bestFit="1" customWidth="1"/>
    <col min="21" max="21" width="26" bestFit="1" customWidth="1"/>
    <col min="23" max="23" width="12.7265625" bestFit="1" customWidth="1"/>
    <col min="24" max="24" width="13.6328125" bestFit="1" customWidth="1"/>
    <col min="27" max="27" width="13.6328125" bestFit="1" customWidth="1"/>
    <col min="28" max="28" width="27.08984375" bestFit="1" customWidth="1"/>
    <col min="29" max="29" width="18.36328125" bestFit="1" customWidth="1"/>
    <col min="30" max="30" width="21.7265625" bestFit="1" customWidth="1"/>
    <col min="31" max="31" width="18.54296875" bestFit="1" customWidth="1"/>
    <col min="32" max="32" width="11.90625" bestFit="1" customWidth="1"/>
    <col min="33" max="33" width="11.81640625" bestFit="1" customWidth="1"/>
    <col min="34" max="34" width="4.1796875" customWidth="1"/>
    <col min="35" max="35" width="4.36328125" customWidth="1"/>
    <col min="36" max="36" width="4.453125" customWidth="1"/>
    <col min="37" max="37" width="27.08984375" bestFit="1" customWidth="1"/>
    <col min="38" max="38" width="10.453125" bestFit="1" customWidth="1"/>
  </cols>
  <sheetData>
    <row r="3" spans="1:28" ht="29" x14ac:dyDescent="0.35">
      <c r="A3" s="33" t="s">
        <v>0</v>
      </c>
      <c r="B3" s="33" t="s">
        <v>1</v>
      </c>
      <c r="C3" s="33" t="s">
        <v>2</v>
      </c>
      <c r="D3" s="33" t="s">
        <v>3</v>
      </c>
      <c r="E3" s="33" t="s">
        <v>64</v>
      </c>
      <c r="F3" s="33" t="s">
        <v>19</v>
      </c>
      <c r="G3" s="33" t="s">
        <v>65</v>
      </c>
      <c r="H3" s="33" t="s">
        <v>20</v>
      </c>
      <c r="I3" s="33" t="s">
        <v>66</v>
      </c>
      <c r="J3" s="33" t="s">
        <v>27</v>
      </c>
      <c r="K3" s="33" t="s">
        <v>14</v>
      </c>
      <c r="L3" s="33" t="s">
        <v>67</v>
      </c>
      <c r="M3" s="33" t="s">
        <v>15</v>
      </c>
      <c r="N3" s="33" t="s">
        <v>21</v>
      </c>
      <c r="O3" s="33" t="s">
        <v>16</v>
      </c>
      <c r="P3" s="33" t="s">
        <v>17</v>
      </c>
      <c r="Q3" s="33" t="s">
        <v>18</v>
      </c>
      <c r="R3" s="33" t="s">
        <v>30</v>
      </c>
      <c r="S3" s="33" t="s">
        <v>31</v>
      </c>
      <c r="T3" s="33" t="s">
        <v>32</v>
      </c>
      <c r="U3" s="33" t="s">
        <v>33</v>
      </c>
    </row>
    <row r="4" spans="1:28" x14ac:dyDescent="0.35">
      <c r="A4" s="32" t="s">
        <v>4</v>
      </c>
      <c r="B4" s="32" t="s">
        <v>9</v>
      </c>
      <c r="C4" s="16">
        <v>7</v>
      </c>
      <c r="D4" s="16">
        <v>3.4</v>
      </c>
      <c r="E4" s="16">
        <v>3</v>
      </c>
      <c r="F4" s="16">
        <v>1</v>
      </c>
      <c r="G4" s="16">
        <v>2</v>
      </c>
      <c r="H4" s="16">
        <v>2</v>
      </c>
      <c r="I4" s="16">
        <v>1</v>
      </c>
      <c r="J4" s="16">
        <v>2</v>
      </c>
      <c r="K4" s="16">
        <v>2</v>
      </c>
      <c r="L4" s="16">
        <v>3</v>
      </c>
      <c r="M4" s="16">
        <v>1</v>
      </c>
      <c r="N4" s="16">
        <v>2</v>
      </c>
      <c r="O4" s="16">
        <v>2</v>
      </c>
      <c r="P4" s="16">
        <v>2</v>
      </c>
      <c r="Q4" s="16">
        <v>2</v>
      </c>
      <c r="R4" s="16">
        <v>2</v>
      </c>
      <c r="S4" s="16">
        <v>2</v>
      </c>
      <c r="T4" s="16">
        <v>3</v>
      </c>
      <c r="U4" s="16">
        <v>2</v>
      </c>
    </row>
    <row r="5" spans="1:28" x14ac:dyDescent="0.35">
      <c r="A5" s="32" t="s">
        <v>5</v>
      </c>
      <c r="B5" s="32" t="s">
        <v>10</v>
      </c>
      <c r="C5" s="16">
        <v>7</v>
      </c>
      <c r="D5" s="16">
        <v>3.7</v>
      </c>
      <c r="E5" s="16">
        <v>2</v>
      </c>
      <c r="F5" s="16">
        <v>3</v>
      </c>
      <c r="G5" s="16">
        <v>3</v>
      </c>
      <c r="H5" s="16">
        <v>1</v>
      </c>
      <c r="I5" s="16">
        <v>2</v>
      </c>
      <c r="J5" s="16">
        <v>2</v>
      </c>
      <c r="K5" s="16">
        <v>1</v>
      </c>
      <c r="L5" s="16">
        <v>3</v>
      </c>
      <c r="M5" s="16">
        <v>2</v>
      </c>
      <c r="N5" s="16">
        <v>3</v>
      </c>
      <c r="O5" s="16">
        <v>1</v>
      </c>
      <c r="P5" s="16">
        <v>2</v>
      </c>
      <c r="Q5" s="16">
        <v>2</v>
      </c>
      <c r="R5" s="16">
        <v>3</v>
      </c>
      <c r="S5" s="16">
        <v>3</v>
      </c>
      <c r="T5" s="16">
        <v>2</v>
      </c>
      <c r="U5" s="16">
        <v>2</v>
      </c>
    </row>
    <row r="6" spans="1:28" x14ac:dyDescent="0.35">
      <c r="A6" s="32" t="s">
        <v>6</v>
      </c>
      <c r="B6" s="32" t="s">
        <v>11</v>
      </c>
      <c r="C6" s="16">
        <v>7</v>
      </c>
      <c r="D6" s="16">
        <v>3.3</v>
      </c>
      <c r="E6" s="16">
        <v>1</v>
      </c>
      <c r="F6" s="16">
        <v>2</v>
      </c>
      <c r="G6" s="16">
        <v>3</v>
      </c>
      <c r="H6" s="16">
        <v>2</v>
      </c>
      <c r="I6" s="16">
        <v>2</v>
      </c>
      <c r="J6" s="16">
        <v>1</v>
      </c>
      <c r="K6" s="16">
        <v>2</v>
      </c>
      <c r="L6" s="16">
        <v>2</v>
      </c>
      <c r="M6" s="16">
        <v>2</v>
      </c>
      <c r="N6" s="16">
        <v>2</v>
      </c>
      <c r="O6" s="16">
        <v>1</v>
      </c>
      <c r="P6" s="16">
        <v>2</v>
      </c>
      <c r="Q6" s="16">
        <v>1</v>
      </c>
      <c r="R6" s="16">
        <v>2</v>
      </c>
      <c r="S6" s="16">
        <v>2</v>
      </c>
      <c r="T6" s="16">
        <v>2</v>
      </c>
      <c r="U6" s="16">
        <v>2</v>
      </c>
    </row>
    <row r="7" spans="1:28" x14ac:dyDescent="0.35">
      <c r="A7" s="32" t="s">
        <v>7</v>
      </c>
      <c r="B7" s="32" t="s">
        <v>12</v>
      </c>
      <c r="C7" s="16">
        <v>7</v>
      </c>
      <c r="D7" s="16">
        <v>3.8</v>
      </c>
      <c r="E7" s="16">
        <v>3</v>
      </c>
      <c r="F7" s="16">
        <v>1</v>
      </c>
      <c r="G7" s="16">
        <v>2</v>
      </c>
      <c r="H7" s="16">
        <v>3</v>
      </c>
      <c r="I7" s="16">
        <v>1</v>
      </c>
      <c r="J7" s="16">
        <v>3</v>
      </c>
      <c r="K7" s="16">
        <v>2</v>
      </c>
      <c r="L7" s="16">
        <v>3</v>
      </c>
      <c r="M7" s="16">
        <v>1</v>
      </c>
      <c r="N7" s="16">
        <v>2</v>
      </c>
      <c r="O7" s="16">
        <v>2</v>
      </c>
      <c r="P7" s="16">
        <v>2</v>
      </c>
      <c r="Q7" s="16">
        <v>2</v>
      </c>
      <c r="R7" s="16">
        <v>2</v>
      </c>
      <c r="S7" s="16">
        <v>2</v>
      </c>
      <c r="T7" s="16">
        <v>3</v>
      </c>
      <c r="U7" s="16">
        <v>2</v>
      </c>
    </row>
    <row r="8" spans="1:28" x14ac:dyDescent="0.35">
      <c r="A8" s="32" t="s">
        <v>8</v>
      </c>
      <c r="B8" s="32" t="s">
        <v>13</v>
      </c>
      <c r="C8" s="16">
        <v>5</v>
      </c>
      <c r="D8" s="16">
        <v>3.5</v>
      </c>
      <c r="E8" s="16">
        <v>2</v>
      </c>
      <c r="F8" s="16">
        <v>2</v>
      </c>
      <c r="G8" s="16">
        <v>2</v>
      </c>
      <c r="H8" s="16">
        <v>1</v>
      </c>
      <c r="I8" s="16">
        <v>2</v>
      </c>
      <c r="J8" s="16">
        <v>2</v>
      </c>
      <c r="K8" s="16">
        <v>1</v>
      </c>
      <c r="L8" s="16">
        <v>2</v>
      </c>
      <c r="M8" s="16">
        <v>2</v>
      </c>
      <c r="N8" s="16">
        <v>1</v>
      </c>
      <c r="O8" s="16">
        <v>1</v>
      </c>
      <c r="P8" s="16">
        <v>2</v>
      </c>
      <c r="Q8" s="16">
        <v>2</v>
      </c>
      <c r="R8" s="16">
        <v>2</v>
      </c>
      <c r="S8" s="16">
        <v>1</v>
      </c>
      <c r="T8" s="16">
        <v>2</v>
      </c>
      <c r="U8" s="16">
        <v>2</v>
      </c>
    </row>
    <row r="9" spans="1:28" x14ac:dyDescent="0.35">
      <c r="A9" s="32" t="s">
        <v>68</v>
      </c>
      <c r="B9" s="32" t="s">
        <v>69</v>
      </c>
      <c r="C9" s="16">
        <v>6</v>
      </c>
      <c r="D9" s="16">
        <v>3.2</v>
      </c>
      <c r="E9" s="16">
        <v>1</v>
      </c>
      <c r="F9" s="16">
        <v>3</v>
      </c>
      <c r="G9" s="16">
        <v>3</v>
      </c>
      <c r="H9" s="16">
        <v>2</v>
      </c>
      <c r="I9" s="16">
        <v>3</v>
      </c>
      <c r="J9" s="16">
        <v>1</v>
      </c>
      <c r="K9" s="16">
        <v>2</v>
      </c>
      <c r="L9" s="16">
        <v>2</v>
      </c>
      <c r="M9" s="16">
        <v>3</v>
      </c>
      <c r="N9" s="16">
        <v>2</v>
      </c>
      <c r="O9" s="16">
        <v>2</v>
      </c>
      <c r="P9" s="16">
        <v>3</v>
      </c>
      <c r="Q9" s="16">
        <v>2</v>
      </c>
      <c r="R9" s="16">
        <v>3</v>
      </c>
      <c r="S9" s="16">
        <v>2</v>
      </c>
      <c r="T9" s="16">
        <v>3</v>
      </c>
      <c r="U9" s="16">
        <v>2</v>
      </c>
    </row>
    <row r="10" spans="1:28" x14ac:dyDescent="0.35">
      <c r="A10" s="32" t="s">
        <v>70</v>
      </c>
      <c r="B10" s="32" t="s">
        <v>71</v>
      </c>
      <c r="C10" s="16">
        <v>6</v>
      </c>
      <c r="D10" s="16">
        <v>3.6</v>
      </c>
      <c r="E10" s="16">
        <v>2</v>
      </c>
      <c r="F10" s="16">
        <v>2</v>
      </c>
      <c r="G10" s="16">
        <v>1</v>
      </c>
      <c r="H10" s="16">
        <v>3</v>
      </c>
      <c r="I10" s="16">
        <v>2</v>
      </c>
      <c r="J10" s="16">
        <v>2</v>
      </c>
      <c r="K10" s="16">
        <v>3</v>
      </c>
      <c r="L10" s="16">
        <v>1</v>
      </c>
      <c r="M10" s="16">
        <v>2</v>
      </c>
      <c r="N10" s="16">
        <v>3</v>
      </c>
      <c r="O10" s="16">
        <v>2</v>
      </c>
      <c r="P10" s="16">
        <v>2</v>
      </c>
      <c r="Q10" s="16">
        <v>3</v>
      </c>
      <c r="R10" s="16">
        <v>2</v>
      </c>
      <c r="S10" s="16">
        <v>3</v>
      </c>
      <c r="T10" s="16">
        <v>2</v>
      </c>
      <c r="U10" s="16">
        <v>3</v>
      </c>
    </row>
    <row r="11" spans="1:28" x14ac:dyDescent="0.35">
      <c r="A11" s="32" t="s">
        <v>72</v>
      </c>
      <c r="B11" s="32" t="s">
        <v>73</v>
      </c>
      <c r="C11" s="16">
        <v>7</v>
      </c>
      <c r="D11" s="16">
        <v>3.9</v>
      </c>
      <c r="E11" s="16">
        <v>3</v>
      </c>
      <c r="F11" s="16">
        <v>1</v>
      </c>
      <c r="G11" s="16">
        <v>2</v>
      </c>
      <c r="H11" s="16">
        <v>3</v>
      </c>
      <c r="I11" s="16">
        <v>1</v>
      </c>
      <c r="J11" s="16">
        <v>3</v>
      </c>
      <c r="K11" s="16">
        <v>2</v>
      </c>
      <c r="L11" s="16">
        <v>3</v>
      </c>
      <c r="M11" s="16">
        <v>2</v>
      </c>
      <c r="N11" s="16">
        <v>2</v>
      </c>
      <c r="O11" s="16">
        <v>2</v>
      </c>
      <c r="P11" s="16">
        <v>3</v>
      </c>
      <c r="Q11" s="16">
        <v>2</v>
      </c>
      <c r="R11" s="16">
        <v>3</v>
      </c>
      <c r="S11" s="16">
        <v>2</v>
      </c>
      <c r="T11" s="16">
        <v>3</v>
      </c>
      <c r="U11" s="16">
        <v>2</v>
      </c>
    </row>
    <row r="12" spans="1:28" x14ac:dyDescent="0.35">
      <c r="A12" s="32" t="s">
        <v>74</v>
      </c>
      <c r="B12" s="32" t="s">
        <v>75</v>
      </c>
      <c r="C12" s="16">
        <v>7</v>
      </c>
      <c r="D12" s="16">
        <v>3.5</v>
      </c>
      <c r="E12" s="16">
        <v>2</v>
      </c>
      <c r="F12" s="16">
        <v>3</v>
      </c>
      <c r="G12" s="16">
        <v>3</v>
      </c>
      <c r="H12" s="16">
        <v>2</v>
      </c>
      <c r="I12" s="16">
        <v>2</v>
      </c>
      <c r="J12" s="16">
        <v>2</v>
      </c>
      <c r="K12" s="16">
        <v>1</v>
      </c>
      <c r="L12" s="16">
        <v>2</v>
      </c>
      <c r="M12" s="16">
        <v>2</v>
      </c>
      <c r="N12" s="16">
        <v>2</v>
      </c>
      <c r="O12" s="16">
        <v>1</v>
      </c>
      <c r="P12" s="16">
        <v>2</v>
      </c>
      <c r="Q12" s="16">
        <v>1</v>
      </c>
      <c r="R12" s="16">
        <v>2</v>
      </c>
      <c r="S12" s="16">
        <v>2</v>
      </c>
      <c r="T12" s="16">
        <v>2</v>
      </c>
      <c r="U12" s="16">
        <v>2</v>
      </c>
    </row>
    <row r="13" spans="1:28" x14ac:dyDescent="0.35">
      <c r="A13" s="32" t="s">
        <v>77</v>
      </c>
      <c r="B13" s="32" t="s">
        <v>78</v>
      </c>
      <c r="C13" s="16">
        <v>5</v>
      </c>
      <c r="D13" s="16">
        <v>3.3</v>
      </c>
      <c r="E13" s="16">
        <v>1</v>
      </c>
      <c r="F13" s="16">
        <v>2</v>
      </c>
      <c r="G13" s="16">
        <v>2</v>
      </c>
      <c r="H13" s="16">
        <v>1</v>
      </c>
      <c r="I13" s="16">
        <v>3</v>
      </c>
      <c r="J13" s="16">
        <v>1</v>
      </c>
      <c r="K13" s="16">
        <v>2</v>
      </c>
      <c r="L13" s="16">
        <v>1</v>
      </c>
      <c r="M13" s="16">
        <v>2</v>
      </c>
      <c r="N13" s="16">
        <v>1</v>
      </c>
      <c r="O13" s="16">
        <v>2</v>
      </c>
      <c r="P13" s="16">
        <v>1</v>
      </c>
      <c r="Q13" s="16">
        <v>2</v>
      </c>
      <c r="R13" s="16">
        <v>1</v>
      </c>
      <c r="S13" s="16">
        <v>2</v>
      </c>
      <c r="T13" s="16">
        <v>2</v>
      </c>
      <c r="U13" s="16">
        <v>2</v>
      </c>
    </row>
    <row r="14" spans="1:28" x14ac:dyDescent="0.35">
      <c r="A14" s="34"/>
    </row>
    <row r="15" spans="1:28" x14ac:dyDescent="0.35">
      <c r="A15" s="101" t="s">
        <v>76</v>
      </c>
      <c r="B15" s="101"/>
      <c r="C15" s="101"/>
      <c r="D15" s="101"/>
      <c r="E15" s="101"/>
      <c r="F15" s="101"/>
      <c r="G15" s="101"/>
      <c r="H15" s="101"/>
      <c r="I15" s="101"/>
      <c r="J15" s="101"/>
      <c r="K15" s="101"/>
      <c r="L15" s="101"/>
      <c r="M15" s="101"/>
      <c r="N15" s="101"/>
      <c r="O15" s="101"/>
      <c r="P15" s="101"/>
      <c r="Q15" s="101"/>
      <c r="R15" s="101"/>
      <c r="S15" s="101"/>
      <c r="T15" s="101"/>
      <c r="U15" s="101"/>
      <c r="V15" s="30"/>
      <c r="W15" s="30"/>
      <c r="X15" s="30"/>
      <c r="Y15" s="30"/>
      <c r="Z15" s="30"/>
      <c r="AA15" s="30"/>
      <c r="AB15" s="30"/>
    </row>
    <row r="16" spans="1:28" x14ac:dyDescent="0.35">
      <c r="A16" s="32" t="s">
        <v>4</v>
      </c>
      <c r="B16" s="32" t="s">
        <v>9</v>
      </c>
      <c r="C16" s="16">
        <v>7</v>
      </c>
      <c r="D16" s="16">
        <v>3.4</v>
      </c>
      <c r="E16" s="16">
        <v>3</v>
      </c>
      <c r="F16" s="16">
        <v>1</v>
      </c>
      <c r="G16" s="16">
        <v>2</v>
      </c>
      <c r="H16" s="16">
        <v>2</v>
      </c>
      <c r="I16" s="16">
        <v>1</v>
      </c>
      <c r="J16" s="16">
        <v>2</v>
      </c>
      <c r="K16" s="16">
        <v>2</v>
      </c>
      <c r="L16" s="16">
        <v>3</v>
      </c>
      <c r="M16" s="16">
        <v>1</v>
      </c>
      <c r="N16" s="16">
        <v>2</v>
      </c>
      <c r="O16" s="16">
        <v>2</v>
      </c>
      <c r="P16" s="16">
        <v>2</v>
      </c>
      <c r="Q16" s="16">
        <v>2</v>
      </c>
      <c r="R16" s="16">
        <v>2</v>
      </c>
      <c r="S16" s="16">
        <v>2</v>
      </c>
      <c r="T16" s="16">
        <v>3</v>
      </c>
      <c r="U16" s="16">
        <v>2</v>
      </c>
    </row>
    <row r="17" spans="1:41" x14ac:dyDescent="0.35">
      <c r="A17" s="32" t="s">
        <v>5</v>
      </c>
      <c r="B17" s="32" t="s">
        <v>10</v>
      </c>
      <c r="C17" s="16">
        <v>7</v>
      </c>
      <c r="D17" s="16">
        <v>3.7</v>
      </c>
      <c r="E17" s="16">
        <v>2</v>
      </c>
      <c r="F17" s="16">
        <v>3</v>
      </c>
      <c r="G17" s="16">
        <v>3</v>
      </c>
      <c r="H17" s="16">
        <v>1</v>
      </c>
      <c r="I17" s="16">
        <v>2</v>
      </c>
      <c r="J17" s="16">
        <v>2</v>
      </c>
      <c r="K17" s="16">
        <v>1</v>
      </c>
      <c r="L17" s="16">
        <v>3</v>
      </c>
      <c r="M17" s="16">
        <v>2</v>
      </c>
      <c r="N17" s="16">
        <v>3</v>
      </c>
      <c r="O17" s="16">
        <v>1</v>
      </c>
      <c r="P17" s="16">
        <v>2</v>
      </c>
      <c r="Q17" s="16">
        <v>2</v>
      </c>
      <c r="R17" s="16">
        <v>3</v>
      </c>
      <c r="S17" s="16">
        <v>3</v>
      </c>
      <c r="T17" s="16">
        <v>2</v>
      </c>
      <c r="U17" s="16">
        <v>2</v>
      </c>
    </row>
    <row r="18" spans="1:41" x14ac:dyDescent="0.35">
      <c r="A18" s="32" t="s">
        <v>6</v>
      </c>
      <c r="B18" s="32" t="s">
        <v>11</v>
      </c>
      <c r="C18" s="16">
        <v>7</v>
      </c>
      <c r="D18" s="16">
        <v>3.3</v>
      </c>
      <c r="E18" s="16">
        <v>1</v>
      </c>
      <c r="F18" s="16">
        <v>2</v>
      </c>
      <c r="G18" s="16">
        <v>3</v>
      </c>
      <c r="H18" s="16">
        <v>2</v>
      </c>
      <c r="I18" s="16">
        <v>2</v>
      </c>
      <c r="J18" s="16">
        <v>1</v>
      </c>
      <c r="K18" s="16">
        <v>2</v>
      </c>
      <c r="L18" s="16">
        <v>2</v>
      </c>
      <c r="M18" s="16">
        <v>2</v>
      </c>
      <c r="N18" s="16">
        <v>2</v>
      </c>
      <c r="O18" s="16">
        <v>1</v>
      </c>
      <c r="P18" s="16">
        <v>2</v>
      </c>
      <c r="Q18" s="16">
        <v>1</v>
      </c>
      <c r="R18" s="16">
        <v>2</v>
      </c>
      <c r="S18" s="16">
        <v>2</v>
      </c>
      <c r="T18" s="16">
        <v>2</v>
      </c>
      <c r="U18" s="16">
        <v>2</v>
      </c>
      <c r="W18" t="s">
        <v>103</v>
      </c>
    </row>
    <row r="19" spans="1:41" x14ac:dyDescent="0.35">
      <c r="A19" s="32" t="s">
        <v>7</v>
      </c>
      <c r="B19" s="32" t="s">
        <v>12</v>
      </c>
      <c r="C19" s="16">
        <v>7</v>
      </c>
      <c r="D19" s="16">
        <v>3.8</v>
      </c>
      <c r="E19" s="16">
        <v>3</v>
      </c>
      <c r="F19" s="16">
        <v>1</v>
      </c>
      <c r="G19" s="16">
        <v>2</v>
      </c>
      <c r="H19" s="16">
        <v>3</v>
      </c>
      <c r="I19" s="16">
        <v>1</v>
      </c>
      <c r="J19" s="16">
        <v>3</v>
      </c>
      <c r="K19" s="16">
        <v>2</v>
      </c>
      <c r="L19" s="16">
        <v>3</v>
      </c>
      <c r="M19" s="16">
        <v>1</v>
      </c>
      <c r="N19" s="16">
        <v>2</v>
      </c>
      <c r="O19" s="16">
        <v>2</v>
      </c>
      <c r="P19" s="16">
        <v>2</v>
      </c>
      <c r="Q19" s="16">
        <v>2</v>
      </c>
      <c r="R19" s="16">
        <v>2</v>
      </c>
      <c r="S19" s="16">
        <v>2</v>
      </c>
      <c r="T19" s="16">
        <v>3</v>
      </c>
      <c r="U19" s="16">
        <v>2</v>
      </c>
    </row>
    <row r="20" spans="1:41" x14ac:dyDescent="0.35">
      <c r="A20" s="32" t="s">
        <v>8</v>
      </c>
      <c r="B20" s="32" t="s">
        <v>13</v>
      </c>
      <c r="C20" s="16">
        <v>5</v>
      </c>
      <c r="D20" s="16">
        <v>3.5</v>
      </c>
      <c r="E20" s="16">
        <v>2</v>
      </c>
      <c r="F20" s="16">
        <v>2</v>
      </c>
      <c r="G20" s="16">
        <v>2</v>
      </c>
      <c r="H20" s="16">
        <v>1</v>
      </c>
      <c r="I20" s="16">
        <v>2</v>
      </c>
      <c r="J20" s="16">
        <v>2</v>
      </c>
      <c r="K20" s="16">
        <v>1</v>
      </c>
      <c r="L20" s="16">
        <v>2</v>
      </c>
      <c r="M20" s="16">
        <v>2</v>
      </c>
      <c r="N20" s="16">
        <v>1</v>
      </c>
      <c r="O20" s="16">
        <v>1</v>
      </c>
      <c r="P20" s="16">
        <v>2</v>
      </c>
      <c r="Q20" s="16">
        <v>2</v>
      </c>
      <c r="R20" s="16">
        <v>2</v>
      </c>
      <c r="S20" s="16">
        <v>1</v>
      </c>
      <c r="T20" s="16">
        <v>2</v>
      </c>
      <c r="U20" s="16">
        <v>2</v>
      </c>
    </row>
    <row r="21" spans="1:41" x14ac:dyDescent="0.35">
      <c r="A21" s="32" t="s">
        <v>68</v>
      </c>
      <c r="B21" s="32" t="s">
        <v>69</v>
      </c>
      <c r="C21" s="16">
        <v>6</v>
      </c>
      <c r="D21" s="16">
        <v>3.2</v>
      </c>
      <c r="E21" s="16">
        <v>1</v>
      </c>
      <c r="F21" s="16">
        <v>3</v>
      </c>
      <c r="G21" s="16">
        <v>3</v>
      </c>
      <c r="H21" s="16">
        <v>2</v>
      </c>
      <c r="I21" s="16">
        <v>3</v>
      </c>
      <c r="J21" s="16">
        <v>1</v>
      </c>
      <c r="K21" s="16">
        <v>2</v>
      </c>
      <c r="L21" s="16">
        <v>2</v>
      </c>
      <c r="M21" s="16">
        <v>3</v>
      </c>
      <c r="N21" s="16">
        <v>2</v>
      </c>
      <c r="O21" s="16">
        <v>2</v>
      </c>
      <c r="P21" s="16">
        <v>3</v>
      </c>
      <c r="Q21" s="16">
        <v>2</v>
      </c>
      <c r="R21" s="16">
        <v>3</v>
      </c>
      <c r="S21" s="16">
        <v>2</v>
      </c>
      <c r="T21" s="16">
        <v>3</v>
      </c>
      <c r="U21" s="16">
        <v>2</v>
      </c>
    </row>
    <row r="22" spans="1:41" x14ac:dyDescent="0.35">
      <c r="A22" s="32" t="s">
        <v>70</v>
      </c>
      <c r="B22" s="32" t="s">
        <v>71</v>
      </c>
      <c r="C22" s="16">
        <v>6</v>
      </c>
      <c r="D22" s="16">
        <v>3.6</v>
      </c>
      <c r="E22" s="16">
        <v>2</v>
      </c>
      <c r="F22" s="16">
        <v>2</v>
      </c>
      <c r="G22" s="16">
        <v>1</v>
      </c>
      <c r="H22" s="16">
        <v>3</v>
      </c>
      <c r="I22" s="16">
        <v>2</v>
      </c>
      <c r="J22" s="16">
        <v>2</v>
      </c>
      <c r="K22" s="16">
        <v>3</v>
      </c>
      <c r="L22" s="16">
        <v>1</v>
      </c>
      <c r="M22" s="16">
        <v>2</v>
      </c>
      <c r="N22" s="16">
        <v>3</v>
      </c>
      <c r="O22" s="16">
        <v>2</v>
      </c>
      <c r="P22" s="16">
        <v>2</v>
      </c>
      <c r="Q22" s="16">
        <v>3</v>
      </c>
      <c r="R22" s="16">
        <v>2</v>
      </c>
      <c r="S22" s="16">
        <v>3</v>
      </c>
      <c r="T22" s="16">
        <v>2</v>
      </c>
      <c r="U22" s="16">
        <v>3</v>
      </c>
    </row>
    <row r="24" spans="1:41" x14ac:dyDescent="0.35">
      <c r="A24" s="33" t="s">
        <v>0</v>
      </c>
      <c r="B24" s="33" t="s">
        <v>1</v>
      </c>
      <c r="C24" s="33" t="s">
        <v>2</v>
      </c>
      <c r="D24" s="33" t="s">
        <v>3</v>
      </c>
      <c r="E24" s="33" t="s">
        <v>64</v>
      </c>
      <c r="F24" s="33" t="s">
        <v>19</v>
      </c>
      <c r="G24" s="33" t="s">
        <v>65</v>
      </c>
      <c r="H24" s="33" t="s">
        <v>20</v>
      </c>
      <c r="I24" s="33" t="s">
        <v>66</v>
      </c>
      <c r="J24" s="33" t="s">
        <v>27</v>
      </c>
      <c r="K24" s="33" t="s">
        <v>14</v>
      </c>
      <c r="L24" s="33" t="s">
        <v>67</v>
      </c>
      <c r="M24" s="33" t="s">
        <v>15</v>
      </c>
      <c r="N24" s="33" t="s">
        <v>21</v>
      </c>
      <c r="O24" s="33" t="s">
        <v>16</v>
      </c>
      <c r="P24" s="33" t="s">
        <v>17</v>
      </c>
      <c r="Q24" s="33" t="s">
        <v>18</v>
      </c>
      <c r="R24" s="33" t="s">
        <v>30</v>
      </c>
      <c r="S24" s="33" t="s">
        <v>31</v>
      </c>
      <c r="T24" s="33" t="s">
        <v>32</v>
      </c>
      <c r="U24" s="33" t="s">
        <v>33</v>
      </c>
      <c r="V24" s="41" t="s">
        <v>79</v>
      </c>
      <c r="W24" s="41" t="s">
        <v>80</v>
      </c>
      <c r="X24" s="41" t="s">
        <v>81</v>
      </c>
      <c r="Y24" s="41" t="s">
        <v>82</v>
      </c>
      <c r="Z24" s="41" t="s">
        <v>83</v>
      </c>
      <c r="AA24" s="41" t="s">
        <v>84</v>
      </c>
      <c r="AB24" s="41" t="s">
        <v>85</v>
      </c>
      <c r="AC24" s="41" t="s">
        <v>86</v>
      </c>
      <c r="AD24" s="41" t="s">
        <v>87</v>
      </c>
      <c r="AE24" s="41" t="s">
        <v>104</v>
      </c>
      <c r="AG24" s="4" t="s">
        <v>49</v>
      </c>
      <c r="AH24" s="100" t="s">
        <v>91</v>
      </c>
      <c r="AI24" s="100"/>
      <c r="AJ24" s="100"/>
      <c r="AK24" s="100"/>
      <c r="AL24" s="100"/>
      <c r="AM24" s="100"/>
      <c r="AN24" s="100"/>
      <c r="AO24" s="100"/>
    </row>
    <row r="25" spans="1:41" x14ac:dyDescent="0.35">
      <c r="A25" s="32" t="s">
        <v>4</v>
      </c>
      <c r="B25" s="32" t="s">
        <v>9</v>
      </c>
      <c r="C25" s="16">
        <v>7</v>
      </c>
      <c r="D25" s="16">
        <v>3.4</v>
      </c>
      <c r="E25" s="16">
        <v>3</v>
      </c>
      <c r="F25" s="16">
        <v>1</v>
      </c>
      <c r="G25" s="16">
        <v>2</v>
      </c>
      <c r="H25" s="16">
        <v>2</v>
      </c>
      <c r="I25" s="16">
        <v>1</v>
      </c>
      <c r="J25" s="16">
        <v>2</v>
      </c>
      <c r="K25" s="16">
        <v>2</v>
      </c>
      <c r="L25" s="16">
        <v>3</v>
      </c>
      <c r="M25" s="16">
        <v>1</v>
      </c>
      <c r="N25" s="16">
        <v>2</v>
      </c>
      <c r="O25" s="16">
        <v>2</v>
      </c>
      <c r="P25" s="16">
        <v>2</v>
      </c>
      <c r="Q25" s="16">
        <v>2</v>
      </c>
      <c r="R25" s="16">
        <v>2</v>
      </c>
      <c r="S25" s="16">
        <v>2</v>
      </c>
      <c r="T25" s="16">
        <v>3</v>
      </c>
      <c r="U25" s="16">
        <v>2</v>
      </c>
      <c r="V25" s="14">
        <f>SQRT(SUMXMY2(E25:U25, $E$16:$U$16))</f>
        <v>0</v>
      </c>
      <c r="W25" s="14">
        <f>SQRT(SUMXMY2(E25:U25, $E$17:$U$17))</f>
        <v>3.872983346207417</v>
      </c>
      <c r="X25" s="14">
        <f>SQRT(SUMXMY2(F25:V25, $E$18:$U$18))</f>
        <v>3.4641016151377544</v>
      </c>
      <c r="Y25" s="14">
        <f>SQRT(SUMXMY2(G25:W25, $E$19:$U$19))</f>
        <v>4.6376790116576991</v>
      </c>
      <c r="Z25" s="14">
        <f>SQRT(SUMXMY2(G25:W25, $E$20:$U$20))</f>
        <v>3.8089456041233158</v>
      </c>
      <c r="AA25" s="14">
        <f>SQRT(SUMXMY2(H25:X25, $E$21:$U$21))</f>
        <v>4.1116533733042822</v>
      </c>
      <c r="AB25" s="14">
        <f>SQRT(SUMXMY2(I25:Y25, $E$22:$U$22))</f>
        <v>4.1937675194779951</v>
      </c>
      <c r="AC25" s="4">
        <f>MIN(V25:AB25)</f>
        <v>0</v>
      </c>
      <c r="AD25" s="4" t="s">
        <v>49</v>
      </c>
      <c r="AE25" s="4">
        <f>AC25^2</f>
        <v>0</v>
      </c>
      <c r="AG25" s="4" t="s">
        <v>53</v>
      </c>
      <c r="AH25" s="98" t="s">
        <v>90</v>
      </c>
      <c r="AI25" s="90"/>
      <c r="AJ25" s="90"/>
      <c r="AK25" s="90"/>
      <c r="AL25" s="90"/>
      <c r="AM25" s="90"/>
      <c r="AN25" s="90"/>
      <c r="AO25" s="99"/>
    </row>
    <row r="26" spans="1:41" x14ac:dyDescent="0.35">
      <c r="A26" s="32" t="s">
        <v>5</v>
      </c>
      <c r="B26" s="32" t="s">
        <v>10</v>
      </c>
      <c r="C26" s="16">
        <v>7</v>
      </c>
      <c r="D26" s="16">
        <v>3.7</v>
      </c>
      <c r="E26" s="16">
        <v>2</v>
      </c>
      <c r="F26" s="16">
        <v>3</v>
      </c>
      <c r="G26" s="16">
        <v>3</v>
      </c>
      <c r="H26" s="16">
        <v>1</v>
      </c>
      <c r="I26" s="16">
        <v>2</v>
      </c>
      <c r="J26" s="16">
        <v>2</v>
      </c>
      <c r="K26" s="16">
        <v>1</v>
      </c>
      <c r="L26" s="16">
        <v>3</v>
      </c>
      <c r="M26" s="16">
        <v>2</v>
      </c>
      <c r="N26" s="16">
        <v>3</v>
      </c>
      <c r="O26" s="16">
        <v>1</v>
      </c>
      <c r="P26" s="16">
        <v>2</v>
      </c>
      <c r="Q26" s="16">
        <v>2</v>
      </c>
      <c r="R26" s="16">
        <v>3</v>
      </c>
      <c r="S26" s="16">
        <v>3</v>
      </c>
      <c r="T26" s="16">
        <v>2</v>
      </c>
      <c r="U26" s="16">
        <v>2</v>
      </c>
      <c r="V26" s="14">
        <f>SQRT(SUMXMY2(E26:U26, $E$16:$U$16))</f>
        <v>3.872983346207417</v>
      </c>
      <c r="W26" s="14">
        <f t="shared" ref="W26:W34" si="0">SQRT(SUMXMY2(E26:U26, $E$17:$U$17))</f>
        <v>0</v>
      </c>
      <c r="X26" s="14">
        <f t="shared" ref="X26:X34" si="1">SQRT(SUMXMY2(F26:V26, $E$18:$U$18))</f>
        <v>4.6376790116576991</v>
      </c>
      <c r="Y26" s="14">
        <f t="shared" ref="Y26:Y34" si="2">SQRT(SUMXMY2(G26:W26, $E$19:$U$19))</f>
        <v>2.7860545441099136</v>
      </c>
      <c r="Z26" s="14">
        <f t="shared" ref="Z26:Z34" si="3">SQRT(SUMXMY2(G26:W26, $E$20:$U$20))</f>
        <v>4.5285832900776297</v>
      </c>
      <c r="AA26" s="14">
        <f t="shared" ref="AA26:AA34" si="4">SQRT(SUMXMY2(H26:X26, $E$21:$U$21))</f>
        <v>5.3352991653430148</v>
      </c>
      <c r="AB26" s="14">
        <f t="shared" ref="AB26:AB34" si="5">SQRT(SUMXMY2(I26:Y26, $E$22:$U$22))</f>
        <v>5.2451110418947167</v>
      </c>
      <c r="AC26" s="4">
        <f t="shared" ref="AC26:AC34" si="6">MIN(V26:AB26)</f>
        <v>0</v>
      </c>
      <c r="AD26" s="4" t="s">
        <v>53</v>
      </c>
      <c r="AE26" s="4">
        <f t="shared" ref="AE26:AE34" si="7">AC26^2</f>
        <v>0</v>
      </c>
      <c r="AG26" s="4" t="s">
        <v>58</v>
      </c>
      <c r="AH26" s="98" t="s">
        <v>93</v>
      </c>
      <c r="AI26" s="90"/>
      <c r="AJ26" s="90"/>
      <c r="AK26" s="90"/>
      <c r="AL26" s="90"/>
      <c r="AM26" s="90"/>
      <c r="AN26" s="90"/>
      <c r="AO26" s="99"/>
    </row>
    <row r="27" spans="1:41" x14ac:dyDescent="0.35">
      <c r="A27" s="32" t="s">
        <v>6</v>
      </c>
      <c r="B27" s="32" t="s">
        <v>11</v>
      </c>
      <c r="C27" s="16">
        <v>7</v>
      </c>
      <c r="D27" s="16">
        <v>3.3</v>
      </c>
      <c r="E27" s="16">
        <v>1</v>
      </c>
      <c r="F27" s="16">
        <v>2</v>
      </c>
      <c r="G27" s="16">
        <v>3</v>
      </c>
      <c r="H27" s="16">
        <v>2</v>
      </c>
      <c r="I27" s="16">
        <v>2</v>
      </c>
      <c r="J27" s="16">
        <v>1</v>
      </c>
      <c r="K27" s="16">
        <v>2</v>
      </c>
      <c r="L27" s="16">
        <v>2</v>
      </c>
      <c r="M27" s="16">
        <v>2</v>
      </c>
      <c r="N27" s="16">
        <v>2</v>
      </c>
      <c r="O27" s="16">
        <v>1</v>
      </c>
      <c r="P27" s="16">
        <v>2</v>
      </c>
      <c r="Q27" s="16">
        <v>1</v>
      </c>
      <c r="R27" s="16">
        <v>2</v>
      </c>
      <c r="S27" s="16">
        <v>2</v>
      </c>
      <c r="T27" s="16">
        <v>2</v>
      </c>
      <c r="U27" s="16">
        <v>2</v>
      </c>
      <c r="V27" s="14">
        <f t="shared" ref="V27:V34" si="8">SQRT(SUMXMY2(E27:U27, $E$16:$U$16))</f>
        <v>3.6055512754639891</v>
      </c>
      <c r="W27" s="14">
        <f t="shared" si="0"/>
        <v>3.1622776601683795</v>
      </c>
      <c r="X27" s="14">
        <f t="shared" si="1"/>
        <v>3.4026158904795647</v>
      </c>
      <c r="Y27" s="14">
        <f t="shared" si="2"/>
        <v>3.2737717859592088</v>
      </c>
      <c r="Z27" s="14">
        <f t="shared" si="3"/>
        <v>2.9880904031622815</v>
      </c>
      <c r="AA27" s="14">
        <f t="shared" si="4"/>
        <v>4.1918325674291363</v>
      </c>
      <c r="AB27" s="14">
        <f t="shared" si="5"/>
        <v>3.9555544825152951</v>
      </c>
      <c r="AC27" s="4">
        <f t="shared" si="6"/>
        <v>2.9880904031622815</v>
      </c>
      <c r="AD27" s="4" t="s">
        <v>88</v>
      </c>
      <c r="AE27" s="4">
        <f t="shared" si="7"/>
        <v>8.9286842574705254</v>
      </c>
      <c r="AG27" s="4" t="s">
        <v>59</v>
      </c>
      <c r="AH27" s="98" t="s">
        <v>92</v>
      </c>
      <c r="AI27" s="90"/>
      <c r="AJ27" s="90"/>
      <c r="AK27" s="90"/>
      <c r="AL27" s="90"/>
      <c r="AM27" s="90"/>
      <c r="AN27" s="90"/>
      <c r="AO27" s="99"/>
    </row>
    <row r="28" spans="1:41" x14ac:dyDescent="0.35">
      <c r="A28" s="32" t="s">
        <v>7</v>
      </c>
      <c r="B28" s="32" t="s">
        <v>12</v>
      </c>
      <c r="C28" s="16">
        <v>7</v>
      </c>
      <c r="D28" s="16">
        <v>3.8</v>
      </c>
      <c r="E28" s="16">
        <v>3</v>
      </c>
      <c r="F28" s="16">
        <v>1</v>
      </c>
      <c r="G28" s="16">
        <v>2</v>
      </c>
      <c r="H28" s="16">
        <v>3</v>
      </c>
      <c r="I28" s="16">
        <v>1</v>
      </c>
      <c r="J28" s="16">
        <v>3</v>
      </c>
      <c r="K28" s="16">
        <v>2</v>
      </c>
      <c r="L28" s="16">
        <v>3</v>
      </c>
      <c r="M28" s="16">
        <v>1</v>
      </c>
      <c r="N28" s="16">
        <v>2</v>
      </c>
      <c r="O28" s="16">
        <v>2</v>
      </c>
      <c r="P28" s="16">
        <v>2</v>
      </c>
      <c r="Q28" s="16">
        <v>2</v>
      </c>
      <c r="R28" s="16">
        <v>2</v>
      </c>
      <c r="S28" s="16">
        <v>2</v>
      </c>
      <c r="T28" s="16">
        <v>3</v>
      </c>
      <c r="U28" s="16">
        <v>2</v>
      </c>
      <c r="V28" s="14">
        <f t="shared" si="8"/>
        <v>1.4142135623730951</v>
      </c>
      <c r="W28" s="14">
        <f t="shared" si="0"/>
        <v>4.358898943540674</v>
      </c>
      <c r="X28" s="14">
        <f t="shared" si="1"/>
        <v>2.8884504064476544</v>
      </c>
      <c r="Y28" s="14">
        <f t="shared" si="2"/>
        <v>4.367965527748443</v>
      </c>
      <c r="Z28" s="14">
        <f t="shared" si="3"/>
        <v>4.1118791295884325</v>
      </c>
      <c r="AA28" s="14">
        <f t="shared" si="4"/>
        <v>3.8702837381748361</v>
      </c>
      <c r="AB28" s="14">
        <f t="shared" si="5"/>
        <v>3.7216160332695067</v>
      </c>
      <c r="AC28" s="4">
        <f t="shared" si="6"/>
        <v>1.4142135623730951</v>
      </c>
      <c r="AD28" s="4" t="s">
        <v>49</v>
      </c>
      <c r="AE28" s="4">
        <f t="shared" si="7"/>
        <v>2.0000000000000004</v>
      </c>
      <c r="AG28" s="4" t="s">
        <v>88</v>
      </c>
      <c r="AH28" s="98" t="s">
        <v>89</v>
      </c>
      <c r="AI28" s="90"/>
      <c r="AJ28" s="90"/>
      <c r="AK28" s="90"/>
      <c r="AL28" s="90"/>
      <c r="AM28" s="90"/>
      <c r="AN28" s="90"/>
      <c r="AO28" s="99"/>
    </row>
    <row r="29" spans="1:41" x14ac:dyDescent="0.35">
      <c r="A29" s="32" t="s">
        <v>8</v>
      </c>
      <c r="B29" s="32" t="s">
        <v>13</v>
      </c>
      <c r="C29" s="16">
        <v>5</v>
      </c>
      <c r="D29" s="16">
        <v>3.5</v>
      </c>
      <c r="E29" s="16">
        <v>2</v>
      </c>
      <c r="F29" s="16">
        <v>2</v>
      </c>
      <c r="G29" s="16">
        <v>2</v>
      </c>
      <c r="H29" s="16">
        <v>1</v>
      </c>
      <c r="I29" s="16">
        <v>2</v>
      </c>
      <c r="J29" s="16">
        <v>2</v>
      </c>
      <c r="K29" s="16">
        <v>1</v>
      </c>
      <c r="L29" s="16">
        <v>2</v>
      </c>
      <c r="M29" s="16">
        <v>2</v>
      </c>
      <c r="N29" s="16">
        <v>1</v>
      </c>
      <c r="O29" s="16">
        <v>1</v>
      </c>
      <c r="P29" s="16">
        <v>2</v>
      </c>
      <c r="Q29" s="16">
        <v>2</v>
      </c>
      <c r="R29" s="16">
        <v>2</v>
      </c>
      <c r="S29" s="16">
        <v>1</v>
      </c>
      <c r="T29" s="16">
        <v>2</v>
      </c>
      <c r="U29" s="16">
        <v>2</v>
      </c>
      <c r="V29" s="14">
        <f t="shared" si="8"/>
        <v>3.3166247903553998</v>
      </c>
      <c r="W29" s="14">
        <f t="shared" si="0"/>
        <v>3.4641016151377544</v>
      </c>
      <c r="X29" s="14">
        <f t="shared" si="1"/>
        <v>3.4254198047215176</v>
      </c>
      <c r="Y29" s="14">
        <f t="shared" si="2"/>
        <v>3.2006006932006659</v>
      </c>
      <c r="Z29" s="14">
        <f t="shared" si="3"/>
        <v>3.7251972267287248</v>
      </c>
      <c r="AA29" s="14">
        <f t="shared" si="4"/>
        <v>4.1207660413379701</v>
      </c>
      <c r="AB29" s="14">
        <f t="shared" si="5"/>
        <v>3.7444563564764364</v>
      </c>
      <c r="AC29" s="4">
        <f t="shared" si="6"/>
        <v>3.2006006932006659</v>
      </c>
      <c r="AD29" s="4" t="s">
        <v>59</v>
      </c>
      <c r="AE29" s="4">
        <f t="shared" si="7"/>
        <v>10.243844797316584</v>
      </c>
    </row>
    <row r="30" spans="1:41" x14ac:dyDescent="0.35">
      <c r="A30" s="32" t="s">
        <v>68</v>
      </c>
      <c r="B30" s="32" t="s">
        <v>69</v>
      </c>
      <c r="C30" s="16">
        <v>6</v>
      </c>
      <c r="D30" s="16">
        <v>3.2</v>
      </c>
      <c r="E30" s="16">
        <v>1</v>
      </c>
      <c r="F30" s="16">
        <v>3</v>
      </c>
      <c r="G30" s="16">
        <v>3</v>
      </c>
      <c r="H30" s="16">
        <v>2</v>
      </c>
      <c r="I30" s="16">
        <v>3</v>
      </c>
      <c r="J30" s="16">
        <v>1</v>
      </c>
      <c r="K30" s="16">
        <v>2</v>
      </c>
      <c r="L30" s="16">
        <v>2</v>
      </c>
      <c r="M30" s="16">
        <v>3</v>
      </c>
      <c r="N30" s="16">
        <v>2</v>
      </c>
      <c r="O30" s="16">
        <v>2</v>
      </c>
      <c r="P30" s="16">
        <v>3</v>
      </c>
      <c r="Q30" s="16">
        <v>2</v>
      </c>
      <c r="R30" s="16">
        <v>3</v>
      </c>
      <c r="S30" s="16">
        <v>2</v>
      </c>
      <c r="T30" s="16">
        <v>3</v>
      </c>
      <c r="U30" s="16">
        <v>2</v>
      </c>
      <c r="V30" s="14">
        <f t="shared" si="8"/>
        <v>4.5825756949558398</v>
      </c>
      <c r="W30" s="14">
        <f t="shared" si="0"/>
        <v>3.4641016151377544</v>
      </c>
      <c r="X30" s="14">
        <f t="shared" si="1"/>
        <v>5.0665271360347646</v>
      </c>
      <c r="Y30" s="14">
        <f t="shared" si="2"/>
        <v>4.3183491486578456</v>
      </c>
      <c r="Z30" s="14">
        <f t="shared" si="3"/>
        <v>4.7763260734193622</v>
      </c>
      <c r="AA30" s="14">
        <f t="shared" si="4"/>
        <v>5.503514895536096</v>
      </c>
      <c r="AB30" s="14">
        <f t="shared" si="5"/>
        <v>5.479664285625037</v>
      </c>
      <c r="AC30" s="4">
        <f t="shared" si="6"/>
        <v>3.4641016151377544</v>
      </c>
      <c r="AD30" s="4" t="s">
        <v>53</v>
      </c>
      <c r="AE30" s="4">
        <f t="shared" si="7"/>
        <v>11.999999999999998</v>
      </c>
    </row>
    <row r="31" spans="1:41" x14ac:dyDescent="0.35">
      <c r="A31" s="32" t="s">
        <v>70</v>
      </c>
      <c r="B31" s="32" t="s">
        <v>71</v>
      </c>
      <c r="C31" s="16">
        <v>6</v>
      </c>
      <c r="D31" s="16">
        <v>3.6</v>
      </c>
      <c r="E31" s="16">
        <v>2</v>
      </c>
      <c r="F31" s="16">
        <v>2</v>
      </c>
      <c r="G31" s="16">
        <v>1</v>
      </c>
      <c r="H31" s="16">
        <v>3</v>
      </c>
      <c r="I31" s="16">
        <v>2</v>
      </c>
      <c r="J31" s="16">
        <v>2</v>
      </c>
      <c r="K31" s="16">
        <v>3</v>
      </c>
      <c r="L31" s="16">
        <v>1</v>
      </c>
      <c r="M31" s="16">
        <v>2</v>
      </c>
      <c r="N31" s="16">
        <v>3</v>
      </c>
      <c r="O31" s="16">
        <v>2</v>
      </c>
      <c r="P31" s="16">
        <v>2</v>
      </c>
      <c r="Q31" s="16">
        <v>3</v>
      </c>
      <c r="R31" s="16">
        <v>2</v>
      </c>
      <c r="S31" s="16">
        <v>3</v>
      </c>
      <c r="T31" s="16">
        <v>2</v>
      </c>
      <c r="U31" s="16">
        <v>3</v>
      </c>
      <c r="V31" s="14">
        <f t="shared" si="8"/>
        <v>4</v>
      </c>
      <c r="W31" s="14">
        <f t="shared" si="0"/>
        <v>4.5825756949558398</v>
      </c>
      <c r="X31" s="14">
        <f t="shared" si="1"/>
        <v>4.1231056256176606</v>
      </c>
      <c r="Y31" s="14">
        <f t="shared" si="2"/>
        <v>5.3544091382874957</v>
      </c>
      <c r="Z31" s="14">
        <f t="shared" si="3"/>
        <v>5.2601993517524255</v>
      </c>
      <c r="AA31" s="14">
        <f t="shared" si="4"/>
        <v>5.1002081651432931</v>
      </c>
      <c r="AB31" s="14">
        <f t="shared" si="5"/>
        <v>5.5276908124682578</v>
      </c>
      <c r="AC31" s="4">
        <f t="shared" si="6"/>
        <v>4</v>
      </c>
      <c r="AD31" s="4" t="s">
        <v>49</v>
      </c>
      <c r="AE31" s="4">
        <f t="shared" si="7"/>
        <v>16</v>
      </c>
    </row>
    <row r="32" spans="1:41" x14ac:dyDescent="0.35">
      <c r="A32" s="32" t="s">
        <v>72</v>
      </c>
      <c r="B32" s="32" t="s">
        <v>73</v>
      </c>
      <c r="C32" s="16">
        <v>7</v>
      </c>
      <c r="D32" s="16">
        <v>3.9</v>
      </c>
      <c r="E32" s="16">
        <v>3</v>
      </c>
      <c r="F32" s="16">
        <v>1</v>
      </c>
      <c r="G32" s="16">
        <v>2</v>
      </c>
      <c r="H32" s="16">
        <v>3</v>
      </c>
      <c r="I32" s="16">
        <v>1</v>
      </c>
      <c r="J32" s="16">
        <v>3</v>
      </c>
      <c r="K32" s="16">
        <v>2</v>
      </c>
      <c r="L32" s="16">
        <v>3</v>
      </c>
      <c r="M32" s="16">
        <v>2</v>
      </c>
      <c r="N32" s="16">
        <v>2</v>
      </c>
      <c r="O32" s="16">
        <v>2</v>
      </c>
      <c r="P32" s="16">
        <v>3</v>
      </c>
      <c r="Q32" s="16">
        <v>2</v>
      </c>
      <c r="R32" s="16">
        <v>3</v>
      </c>
      <c r="S32" s="16">
        <v>2</v>
      </c>
      <c r="T32" s="16">
        <v>3</v>
      </c>
      <c r="U32" s="16">
        <v>2</v>
      </c>
      <c r="V32" s="14">
        <f t="shared" si="8"/>
        <v>2.2360679774997898</v>
      </c>
      <c r="W32" s="14">
        <f t="shared" si="0"/>
        <v>4.2426406871192848</v>
      </c>
      <c r="X32" s="14">
        <f t="shared" si="1"/>
        <v>3.6132711066291221</v>
      </c>
      <c r="Y32" s="14">
        <f t="shared" si="2"/>
        <v>4.1967879844619409</v>
      </c>
      <c r="Z32" s="14">
        <f t="shared" si="3"/>
        <v>4.5918585933719367</v>
      </c>
      <c r="AA32" s="14">
        <f t="shared" si="4"/>
        <v>4.1475929924197574</v>
      </c>
      <c r="AB32" s="14">
        <f t="shared" si="5"/>
        <v>3.9540901748091124</v>
      </c>
      <c r="AC32" s="4">
        <f t="shared" si="6"/>
        <v>2.2360679774997898</v>
      </c>
      <c r="AD32" s="4" t="s">
        <v>49</v>
      </c>
      <c r="AE32" s="4">
        <f t="shared" si="7"/>
        <v>5.0000000000000009</v>
      </c>
    </row>
    <row r="33" spans="1:31" x14ac:dyDescent="0.35">
      <c r="A33" s="32" t="s">
        <v>74</v>
      </c>
      <c r="B33" s="32" t="s">
        <v>75</v>
      </c>
      <c r="C33" s="16">
        <v>7</v>
      </c>
      <c r="D33" s="16">
        <v>3.5</v>
      </c>
      <c r="E33" s="16">
        <v>2</v>
      </c>
      <c r="F33" s="16">
        <v>3</v>
      </c>
      <c r="G33" s="16">
        <v>3</v>
      </c>
      <c r="H33" s="16">
        <v>2</v>
      </c>
      <c r="I33" s="16">
        <v>2</v>
      </c>
      <c r="J33" s="16">
        <v>2</v>
      </c>
      <c r="K33" s="16">
        <v>1</v>
      </c>
      <c r="L33" s="16">
        <v>2</v>
      </c>
      <c r="M33" s="16">
        <v>2</v>
      </c>
      <c r="N33" s="16">
        <v>2</v>
      </c>
      <c r="O33" s="16">
        <v>1</v>
      </c>
      <c r="P33" s="16">
        <v>2</v>
      </c>
      <c r="Q33" s="16">
        <v>1</v>
      </c>
      <c r="R33" s="16">
        <v>2</v>
      </c>
      <c r="S33" s="16">
        <v>2</v>
      </c>
      <c r="T33" s="16">
        <v>2</v>
      </c>
      <c r="U33" s="16">
        <v>2</v>
      </c>
      <c r="V33" s="14">
        <f t="shared" si="8"/>
        <v>3.6055512754639891</v>
      </c>
      <c r="W33" s="14">
        <f t="shared" si="0"/>
        <v>2.4494897427831779</v>
      </c>
      <c r="X33" s="14">
        <f t="shared" si="1"/>
        <v>3.5465187012257586</v>
      </c>
      <c r="Y33" s="14">
        <f t="shared" si="2"/>
        <v>2.3598163860951877</v>
      </c>
      <c r="Z33" s="14">
        <f t="shared" si="3"/>
        <v>3.1272729217340989</v>
      </c>
      <c r="AA33" s="14">
        <f t="shared" si="4"/>
        <v>4.0339281766890673</v>
      </c>
      <c r="AB33" s="14">
        <f t="shared" si="5"/>
        <v>3.8317635096908322</v>
      </c>
      <c r="AC33" s="4">
        <f t="shared" si="6"/>
        <v>2.3598163860951877</v>
      </c>
      <c r="AD33" s="4" t="s">
        <v>59</v>
      </c>
      <c r="AE33" s="4">
        <f t="shared" si="7"/>
        <v>5.5687333760833519</v>
      </c>
    </row>
    <row r="34" spans="1:31" x14ac:dyDescent="0.35">
      <c r="A34" s="32" t="s">
        <v>77</v>
      </c>
      <c r="B34" s="32" t="s">
        <v>78</v>
      </c>
      <c r="C34" s="16">
        <v>5</v>
      </c>
      <c r="D34" s="16">
        <v>3.3</v>
      </c>
      <c r="E34" s="16">
        <v>1</v>
      </c>
      <c r="F34" s="16">
        <v>2</v>
      </c>
      <c r="G34" s="16">
        <v>2</v>
      </c>
      <c r="H34" s="16">
        <v>1</v>
      </c>
      <c r="I34" s="16">
        <v>3</v>
      </c>
      <c r="J34" s="16">
        <v>1</v>
      </c>
      <c r="K34" s="16">
        <v>2</v>
      </c>
      <c r="L34" s="16">
        <v>1</v>
      </c>
      <c r="M34" s="16">
        <v>2</v>
      </c>
      <c r="N34" s="16">
        <v>1</v>
      </c>
      <c r="O34" s="16">
        <v>2</v>
      </c>
      <c r="P34" s="16">
        <v>1</v>
      </c>
      <c r="Q34" s="16">
        <v>2</v>
      </c>
      <c r="R34" s="16">
        <v>1</v>
      </c>
      <c r="S34" s="16">
        <v>2</v>
      </c>
      <c r="T34" s="16">
        <v>2</v>
      </c>
      <c r="U34" s="16">
        <v>2</v>
      </c>
      <c r="V34" s="14">
        <f t="shared" si="8"/>
        <v>4.4721359549995796</v>
      </c>
      <c r="W34" s="14">
        <f t="shared" si="0"/>
        <v>4.5825756949558398</v>
      </c>
      <c r="X34" s="14">
        <f t="shared" si="1"/>
        <v>4.013907843984672</v>
      </c>
      <c r="Y34" s="14">
        <f t="shared" si="2"/>
        <v>5.1804325582116366</v>
      </c>
      <c r="Z34" s="14">
        <f t="shared" si="3"/>
        <v>4.5586350369576989</v>
      </c>
      <c r="AA34" s="14">
        <f t="shared" si="4"/>
        <v>5.4471852193889676</v>
      </c>
      <c r="AB34" s="14">
        <f t="shared" si="5"/>
        <v>5.6058998345706259</v>
      </c>
      <c r="AC34" s="4">
        <f t="shared" si="6"/>
        <v>4.013907843984672</v>
      </c>
      <c r="AD34" s="4" t="s">
        <v>58</v>
      </c>
      <c r="AE34" s="4">
        <f t="shared" si="7"/>
        <v>16.111456180001678</v>
      </c>
    </row>
    <row r="35" spans="1:31" x14ac:dyDescent="0.35">
      <c r="U35" s="30"/>
    </row>
    <row r="36" spans="1:31" x14ac:dyDescent="0.35">
      <c r="U36" s="30"/>
    </row>
    <row r="42" spans="1:31" x14ac:dyDescent="0.35">
      <c r="A42" s="101" t="s">
        <v>94</v>
      </c>
      <c r="B42" s="101"/>
      <c r="C42" s="101"/>
      <c r="D42" s="101"/>
      <c r="E42" s="101"/>
      <c r="F42" s="101"/>
      <c r="G42" s="101"/>
      <c r="H42" s="101"/>
      <c r="I42" s="101"/>
      <c r="J42" s="101"/>
      <c r="K42" s="101"/>
      <c r="L42" s="101"/>
      <c r="M42" s="101"/>
      <c r="N42" s="101"/>
      <c r="O42" s="101"/>
      <c r="P42" s="101"/>
      <c r="Q42" s="101"/>
      <c r="R42" s="101"/>
    </row>
    <row r="43" spans="1:31" x14ac:dyDescent="0.35">
      <c r="A43" s="37" t="s">
        <v>87</v>
      </c>
      <c r="B43" s="37" t="s">
        <v>64</v>
      </c>
      <c r="C43" s="37" t="s">
        <v>19</v>
      </c>
      <c r="D43" s="37" t="s">
        <v>65</v>
      </c>
      <c r="E43" s="37" t="s">
        <v>20</v>
      </c>
      <c r="F43" s="37" t="s">
        <v>66</v>
      </c>
      <c r="G43" s="37" t="s">
        <v>27</v>
      </c>
      <c r="H43" s="37" t="s">
        <v>14</v>
      </c>
      <c r="I43" s="37" t="s">
        <v>67</v>
      </c>
      <c r="J43" s="37" t="s">
        <v>15</v>
      </c>
      <c r="K43" s="37" t="s">
        <v>21</v>
      </c>
      <c r="L43" s="37" t="s">
        <v>16</v>
      </c>
      <c r="M43" s="37" t="s">
        <v>17</v>
      </c>
      <c r="N43" s="37" t="s">
        <v>18</v>
      </c>
      <c r="O43" s="37" t="s">
        <v>30</v>
      </c>
      <c r="P43" s="37" t="s">
        <v>31</v>
      </c>
      <c r="Q43" s="37" t="s">
        <v>32</v>
      </c>
      <c r="R43" s="37" t="s">
        <v>33</v>
      </c>
      <c r="S43" s="34"/>
      <c r="T43" s="34"/>
      <c r="U43" s="34"/>
    </row>
    <row r="44" spans="1:31" x14ac:dyDescent="0.35">
      <c r="A44" s="16" t="s">
        <v>49</v>
      </c>
      <c r="B44" s="16">
        <f>AVERAGEIFS(E$25:E$34,$AD$25:$AD$34, "C1")</f>
        <v>2.75</v>
      </c>
      <c r="C44" s="16">
        <f>AVERAGEIFS(F$25:F$34,$AD$25:$AD$34, "C1")</f>
        <v>1.25</v>
      </c>
      <c r="D44" s="16">
        <f t="shared" ref="D44:R44" si="9">AVERAGEIFS(G$25:G$34,$AD$25:$AD$34, "C1")</f>
        <v>1.75</v>
      </c>
      <c r="E44" s="16">
        <f t="shared" si="9"/>
        <v>2.75</v>
      </c>
      <c r="F44" s="16">
        <f t="shared" si="9"/>
        <v>1.25</v>
      </c>
      <c r="G44" s="16">
        <f t="shared" si="9"/>
        <v>2.5</v>
      </c>
      <c r="H44" s="16">
        <f t="shared" si="9"/>
        <v>2.25</v>
      </c>
      <c r="I44" s="16">
        <f t="shared" si="9"/>
        <v>2.5</v>
      </c>
      <c r="J44" s="16">
        <f t="shared" si="9"/>
        <v>1.5</v>
      </c>
      <c r="K44" s="16">
        <f t="shared" si="9"/>
        <v>2.25</v>
      </c>
      <c r="L44" s="16">
        <f t="shared" si="9"/>
        <v>2</v>
      </c>
      <c r="M44" s="16">
        <f t="shared" si="9"/>
        <v>2.25</v>
      </c>
      <c r="N44" s="16">
        <f t="shared" si="9"/>
        <v>2.25</v>
      </c>
      <c r="O44" s="16">
        <f t="shared" si="9"/>
        <v>2.25</v>
      </c>
      <c r="P44" s="16">
        <f t="shared" si="9"/>
        <v>2.25</v>
      </c>
      <c r="Q44" s="16">
        <f t="shared" si="9"/>
        <v>2.75</v>
      </c>
      <c r="R44" s="16">
        <f t="shared" si="9"/>
        <v>2.25</v>
      </c>
    </row>
    <row r="45" spans="1:31" x14ac:dyDescent="0.35">
      <c r="A45" s="16" t="s">
        <v>53</v>
      </c>
      <c r="B45" s="16">
        <f>AVERAGEIFS(E$25:E$34,$AD$25:$AD$34, "C2")</f>
        <v>1.5</v>
      </c>
      <c r="C45" s="16">
        <f t="shared" ref="C45:R45" si="10">AVERAGEIFS(F$25:F$34,$AD$25:$AD$34, "C2")</f>
        <v>3</v>
      </c>
      <c r="D45" s="16">
        <f t="shared" si="10"/>
        <v>3</v>
      </c>
      <c r="E45" s="16">
        <f t="shared" si="10"/>
        <v>1.5</v>
      </c>
      <c r="F45" s="16">
        <f t="shared" si="10"/>
        <v>2.5</v>
      </c>
      <c r="G45" s="16">
        <f t="shared" si="10"/>
        <v>1.5</v>
      </c>
      <c r="H45" s="16">
        <f t="shared" si="10"/>
        <v>1.5</v>
      </c>
      <c r="I45" s="16">
        <f t="shared" si="10"/>
        <v>2.5</v>
      </c>
      <c r="J45" s="16">
        <f t="shared" si="10"/>
        <v>2.5</v>
      </c>
      <c r="K45" s="16">
        <f t="shared" si="10"/>
        <v>2.5</v>
      </c>
      <c r="L45" s="16">
        <f t="shared" si="10"/>
        <v>1.5</v>
      </c>
      <c r="M45" s="16">
        <f t="shared" si="10"/>
        <v>2.5</v>
      </c>
      <c r="N45" s="16">
        <f t="shared" si="10"/>
        <v>2</v>
      </c>
      <c r="O45" s="16">
        <f t="shared" si="10"/>
        <v>3</v>
      </c>
      <c r="P45" s="16">
        <f t="shared" si="10"/>
        <v>2.5</v>
      </c>
      <c r="Q45" s="16">
        <f t="shared" si="10"/>
        <v>2.5</v>
      </c>
      <c r="R45" s="16">
        <f t="shared" si="10"/>
        <v>2</v>
      </c>
    </row>
    <row r="46" spans="1:31" x14ac:dyDescent="0.35">
      <c r="A46" s="16" t="s">
        <v>58</v>
      </c>
      <c r="B46" s="16">
        <f>AVERAGEIFS(E$25:E$34,$AD$25:$AD$34, "C3")</f>
        <v>1</v>
      </c>
      <c r="C46" s="16">
        <f t="shared" ref="C46:R46" si="11">AVERAGEIFS(F$25:F$34,$AD$25:$AD$34, "C3")</f>
        <v>2</v>
      </c>
      <c r="D46" s="16">
        <f t="shared" si="11"/>
        <v>2</v>
      </c>
      <c r="E46" s="16">
        <f t="shared" si="11"/>
        <v>1</v>
      </c>
      <c r="F46" s="16">
        <f t="shared" si="11"/>
        <v>3</v>
      </c>
      <c r="G46" s="16">
        <f t="shared" si="11"/>
        <v>1</v>
      </c>
      <c r="H46" s="16">
        <f t="shared" si="11"/>
        <v>2</v>
      </c>
      <c r="I46" s="16">
        <f t="shared" si="11"/>
        <v>1</v>
      </c>
      <c r="J46" s="16">
        <f t="shared" si="11"/>
        <v>2</v>
      </c>
      <c r="K46" s="16">
        <f t="shared" si="11"/>
        <v>1</v>
      </c>
      <c r="L46" s="16">
        <f t="shared" si="11"/>
        <v>2</v>
      </c>
      <c r="M46" s="16">
        <f t="shared" si="11"/>
        <v>1</v>
      </c>
      <c r="N46" s="16">
        <f t="shared" si="11"/>
        <v>2</v>
      </c>
      <c r="O46" s="16">
        <f t="shared" si="11"/>
        <v>1</v>
      </c>
      <c r="P46" s="16">
        <f t="shared" si="11"/>
        <v>2</v>
      </c>
      <c r="Q46" s="16">
        <f t="shared" si="11"/>
        <v>2</v>
      </c>
      <c r="R46" s="16">
        <f t="shared" si="11"/>
        <v>2</v>
      </c>
    </row>
    <row r="47" spans="1:31" x14ac:dyDescent="0.35">
      <c r="A47" s="16" t="s">
        <v>59</v>
      </c>
      <c r="B47" s="16">
        <f>AVERAGEIFS(E$25:E$34,$AD$25:$AD$34, "C4")</f>
        <v>2</v>
      </c>
      <c r="C47" s="16">
        <f t="shared" ref="C47:R47" si="12">AVERAGEIFS(F$25:F$34,$AD$25:$AD$34, "C4")</f>
        <v>2.5</v>
      </c>
      <c r="D47" s="16">
        <f t="shared" si="12"/>
        <v>2.5</v>
      </c>
      <c r="E47" s="16">
        <f t="shared" si="12"/>
        <v>1.5</v>
      </c>
      <c r="F47" s="16">
        <f t="shared" si="12"/>
        <v>2</v>
      </c>
      <c r="G47" s="16">
        <f t="shared" si="12"/>
        <v>2</v>
      </c>
      <c r="H47" s="16">
        <f t="shared" si="12"/>
        <v>1</v>
      </c>
      <c r="I47" s="16">
        <f t="shared" si="12"/>
        <v>2</v>
      </c>
      <c r="J47" s="16">
        <f t="shared" si="12"/>
        <v>2</v>
      </c>
      <c r="K47" s="16">
        <f t="shared" si="12"/>
        <v>1.5</v>
      </c>
      <c r="L47" s="16">
        <f t="shared" si="12"/>
        <v>1</v>
      </c>
      <c r="M47" s="16">
        <f t="shared" si="12"/>
        <v>2</v>
      </c>
      <c r="N47" s="16">
        <f t="shared" si="12"/>
        <v>1.5</v>
      </c>
      <c r="O47" s="16">
        <f t="shared" si="12"/>
        <v>2</v>
      </c>
      <c r="P47" s="16">
        <f t="shared" si="12"/>
        <v>1.5</v>
      </c>
      <c r="Q47" s="16">
        <f t="shared" si="12"/>
        <v>2</v>
      </c>
      <c r="R47" s="16">
        <f t="shared" si="12"/>
        <v>2</v>
      </c>
    </row>
    <row r="48" spans="1:31" x14ac:dyDescent="0.35">
      <c r="A48" s="16" t="s">
        <v>88</v>
      </c>
      <c r="B48" s="16">
        <f>AVERAGEIFS(E$25:E$34,$AD$25:$AD$34, "C5")</f>
        <v>1</v>
      </c>
      <c r="C48" s="16">
        <f t="shared" ref="C48:R48" si="13">AVERAGEIFS(F$25:F$34,$AD$25:$AD$34, "C5")</f>
        <v>2</v>
      </c>
      <c r="D48" s="16">
        <f t="shared" si="13"/>
        <v>3</v>
      </c>
      <c r="E48" s="16">
        <f t="shared" si="13"/>
        <v>2</v>
      </c>
      <c r="F48" s="16">
        <f t="shared" si="13"/>
        <v>2</v>
      </c>
      <c r="G48" s="16">
        <f t="shared" si="13"/>
        <v>1</v>
      </c>
      <c r="H48" s="16">
        <f t="shared" si="13"/>
        <v>2</v>
      </c>
      <c r="I48" s="16">
        <f t="shared" si="13"/>
        <v>2</v>
      </c>
      <c r="J48" s="16">
        <f t="shared" si="13"/>
        <v>2</v>
      </c>
      <c r="K48" s="16">
        <f t="shared" si="13"/>
        <v>2</v>
      </c>
      <c r="L48" s="16">
        <f t="shared" si="13"/>
        <v>1</v>
      </c>
      <c r="M48" s="16">
        <f t="shared" si="13"/>
        <v>2</v>
      </c>
      <c r="N48" s="16">
        <f t="shared" si="13"/>
        <v>1</v>
      </c>
      <c r="O48" s="16">
        <f t="shared" si="13"/>
        <v>2</v>
      </c>
      <c r="P48" s="16">
        <f t="shared" si="13"/>
        <v>2</v>
      </c>
      <c r="Q48" s="16">
        <f t="shared" si="13"/>
        <v>2</v>
      </c>
      <c r="R48" s="16">
        <f t="shared" si="13"/>
        <v>2</v>
      </c>
    </row>
    <row r="49" spans="1:32" x14ac:dyDescent="0.35">
      <c r="A49" s="19"/>
      <c r="B49" s="19"/>
      <c r="C49" s="18"/>
      <c r="D49" s="18"/>
      <c r="E49" s="18"/>
      <c r="F49" s="18"/>
      <c r="G49" s="18"/>
      <c r="H49" s="18"/>
      <c r="I49" s="18"/>
      <c r="J49" s="18"/>
      <c r="K49" s="18"/>
      <c r="L49" s="18"/>
      <c r="M49" s="18"/>
      <c r="N49" s="18"/>
      <c r="O49" s="18"/>
      <c r="P49" s="18"/>
      <c r="Q49" s="18"/>
      <c r="R49" s="18"/>
      <c r="S49" s="18"/>
      <c r="T49" s="18"/>
      <c r="U49" s="18"/>
    </row>
    <row r="50" spans="1:32" x14ac:dyDescent="0.35">
      <c r="A50" s="19"/>
      <c r="B50" s="19"/>
      <c r="C50" s="18"/>
      <c r="D50" s="18"/>
      <c r="E50" s="18"/>
      <c r="F50" s="18"/>
      <c r="G50" s="18"/>
      <c r="H50" s="18"/>
      <c r="I50" s="18"/>
      <c r="J50" s="18"/>
      <c r="K50" s="18"/>
      <c r="L50" s="18"/>
      <c r="M50" s="18"/>
      <c r="N50" s="18"/>
      <c r="O50" s="18"/>
      <c r="P50" s="18"/>
      <c r="Q50" s="18"/>
      <c r="R50" s="18"/>
      <c r="S50" s="18"/>
      <c r="T50" s="18"/>
      <c r="U50" s="18"/>
    </row>
    <row r="51" spans="1:32" x14ac:dyDescent="0.35">
      <c r="A51" s="33" t="s">
        <v>0</v>
      </c>
      <c r="B51" s="33" t="s">
        <v>1</v>
      </c>
      <c r="C51" s="33" t="s">
        <v>2</v>
      </c>
      <c r="D51" s="33" t="s">
        <v>3</v>
      </c>
      <c r="E51" s="33" t="s">
        <v>64</v>
      </c>
      <c r="F51" s="33" t="s">
        <v>19</v>
      </c>
      <c r="G51" s="33" t="s">
        <v>65</v>
      </c>
      <c r="H51" s="33" t="s">
        <v>20</v>
      </c>
      <c r="I51" s="33" t="s">
        <v>66</v>
      </c>
      <c r="J51" s="33" t="s">
        <v>27</v>
      </c>
      <c r="K51" s="33" t="s">
        <v>14</v>
      </c>
      <c r="L51" s="33" t="s">
        <v>67</v>
      </c>
      <c r="M51" s="33" t="s">
        <v>15</v>
      </c>
      <c r="N51" s="33" t="s">
        <v>21</v>
      </c>
      <c r="O51" s="33" t="s">
        <v>16</v>
      </c>
      <c r="P51" s="33" t="s">
        <v>17</v>
      </c>
      <c r="Q51" s="33" t="s">
        <v>18</v>
      </c>
      <c r="R51" s="33" t="s">
        <v>30</v>
      </c>
      <c r="S51" s="33" t="s">
        <v>31</v>
      </c>
      <c r="T51" s="33" t="s">
        <v>32</v>
      </c>
      <c r="U51" s="33" t="s">
        <v>33</v>
      </c>
      <c r="V51" s="4" t="s">
        <v>79</v>
      </c>
      <c r="W51" s="4" t="s">
        <v>80</v>
      </c>
      <c r="X51" s="4" t="s">
        <v>81</v>
      </c>
      <c r="Y51" s="4" t="s">
        <v>82</v>
      </c>
      <c r="Z51" s="4" t="s">
        <v>83</v>
      </c>
      <c r="AA51" s="4" t="s">
        <v>86</v>
      </c>
      <c r="AB51" s="4" t="s">
        <v>87</v>
      </c>
      <c r="AC51" s="4" t="s">
        <v>104</v>
      </c>
    </row>
    <row r="52" spans="1:32" x14ac:dyDescent="0.35">
      <c r="A52" s="32" t="s">
        <v>4</v>
      </c>
      <c r="B52" s="32" t="s">
        <v>9</v>
      </c>
      <c r="C52" s="16">
        <v>7</v>
      </c>
      <c r="D52" s="16">
        <v>3.4</v>
      </c>
      <c r="E52" s="16">
        <v>3</v>
      </c>
      <c r="F52" s="16">
        <v>1</v>
      </c>
      <c r="G52" s="16">
        <v>2</v>
      </c>
      <c r="H52" s="16">
        <v>2</v>
      </c>
      <c r="I52" s="16">
        <v>1</v>
      </c>
      <c r="J52" s="16">
        <v>2</v>
      </c>
      <c r="K52" s="16">
        <v>2</v>
      </c>
      <c r="L52" s="16">
        <v>3</v>
      </c>
      <c r="M52" s="16">
        <v>1</v>
      </c>
      <c r="N52" s="16">
        <v>2</v>
      </c>
      <c r="O52" s="16">
        <v>2</v>
      </c>
      <c r="P52" s="16">
        <v>2</v>
      </c>
      <c r="Q52" s="16">
        <v>2</v>
      </c>
      <c r="R52" s="16">
        <v>2</v>
      </c>
      <c r="S52" s="16">
        <v>2</v>
      </c>
      <c r="T52" s="16">
        <v>3</v>
      </c>
      <c r="U52" s="16">
        <v>2</v>
      </c>
      <c r="V52" s="14">
        <f>SQRT(SUMXMY2(E52:U52, $B$44:$R$44))</f>
        <v>1.4361406616345072</v>
      </c>
      <c r="W52" s="14">
        <f>SQRT(SUMXMY2(F52:V52, $B$45:$R$45))</f>
        <v>3.2121546278879496</v>
      </c>
      <c r="X52" s="14">
        <f>SQRT(SUMXMY2(G52:W52, $B$46:$R$46))</f>
        <v>4.2174940658372178</v>
      </c>
      <c r="Y52" s="14">
        <f>SQRT(SUMXMY2(H52:X52, $B$47:$R$47))</f>
        <v>3.9548295524623973</v>
      </c>
      <c r="Z52" s="14">
        <f>SQRT(SUMXMY2(I52:Y52, $B$48:$R$48))</f>
        <v>4.1863939980101916</v>
      </c>
      <c r="AA52" s="14">
        <f>MIN(V52:Z52)</f>
        <v>1.4361406616345072</v>
      </c>
      <c r="AB52" s="4" t="s">
        <v>49</v>
      </c>
      <c r="AC52" s="4">
        <f>AA52^2</f>
        <v>2.0625</v>
      </c>
    </row>
    <row r="53" spans="1:32" x14ac:dyDescent="0.35">
      <c r="A53" s="32" t="s">
        <v>5</v>
      </c>
      <c r="B53" s="32" t="s">
        <v>10</v>
      </c>
      <c r="C53" s="16">
        <v>7</v>
      </c>
      <c r="D53" s="16">
        <v>3.7</v>
      </c>
      <c r="E53" s="16">
        <v>2</v>
      </c>
      <c r="F53" s="16">
        <v>3</v>
      </c>
      <c r="G53" s="16">
        <v>3</v>
      </c>
      <c r="H53" s="16">
        <v>1</v>
      </c>
      <c r="I53" s="16">
        <v>2</v>
      </c>
      <c r="J53" s="16">
        <v>2</v>
      </c>
      <c r="K53" s="16">
        <v>1</v>
      </c>
      <c r="L53" s="16">
        <v>3</v>
      </c>
      <c r="M53" s="16">
        <v>2</v>
      </c>
      <c r="N53" s="16">
        <v>3</v>
      </c>
      <c r="O53" s="16">
        <v>1</v>
      </c>
      <c r="P53" s="16">
        <v>2</v>
      </c>
      <c r="Q53" s="16">
        <v>2</v>
      </c>
      <c r="R53" s="16">
        <v>3</v>
      </c>
      <c r="S53" s="16">
        <v>3</v>
      </c>
      <c r="T53" s="16">
        <v>2</v>
      </c>
      <c r="U53" s="16">
        <v>2</v>
      </c>
      <c r="V53" s="14">
        <f t="shared" ref="V53:V61" si="14">SQRT(SUMXMY2(E53:U53, $B$44:$R$44))</f>
        <v>3.8160843806184368</v>
      </c>
      <c r="W53" s="14">
        <f t="shared" ref="W53:W61" si="15">SQRT(SUMXMY2(F53:V53, $B$45:$R$45))</f>
        <v>4.159105970942103</v>
      </c>
      <c r="X53" s="14">
        <f t="shared" ref="X53:X61" si="16">SQRT(SUMXMY2(G53:W53, $B$46:$R$46))</f>
        <v>5.8275124256653532</v>
      </c>
      <c r="Y53" s="14">
        <f t="shared" ref="Y53:Y61" si="17">SQRT(SUMXMY2(H53:X53, $B$47:$R$47))</f>
        <v>6.1583956368948236</v>
      </c>
      <c r="Z53" s="14">
        <f t="shared" ref="Z53:Z61" si="18">SQRT(SUMXMY2(I53:Y53, $B$48:$R$48))</f>
        <v>7.5433418796215701</v>
      </c>
      <c r="AA53" s="14">
        <f t="shared" ref="AA53:AA60" si="19">MIN(V53:Z53)</f>
        <v>3.8160843806184368</v>
      </c>
      <c r="AB53" s="4" t="s">
        <v>49</v>
      </c>
      <c r="AC53" s="4">
        <f>AA53^2</f>
        <v>14.562499999999998</v>
      </c>
    </row>
    <row r="54" spans="1:32" x14ac:dyDescent="0.35">
      <c r="A54" s="32" t="s">
        <v>6</v>
      </c>
      <c r="B54" s="32" t="s">
        <v>11</v>
      </c>
      <c r="C54" s="16">
        <v>7</v>
      </c>
      <c r="D54" s="16">
        <v>3.3</v>
      </c>
      <c r="E54" s="16">
        <v>1</v>
      </c>
      <c r="F54" s="16">
        <v>2</v>
      </c>
      <c r="G54" s="16">
        <v>3</v>
      </c>
      <c r="H54" s="16">
        <v>2</v>
      </c>
      <c r="I54" s="16">
        <v>2</v>
      </c>
      <c r="J54" s="16">
        <v>1</v>
      </c>
      <c r="K54" s="16">
        <v>2</v>
      </c>
      <c r="L54" s="16">
        <v>2</v>
      </c>
      <c r="M54" s="16">
        <v>2</v>
      </c>
      <c r="N54" s="16">
        <v>2</v>
      </c>
      <c r="O54" s="16">
        <v>1</v>
      </c>
      <c r="P54" s="16">
        <v>2</v>
      </c>
      <c r="Q54" s="16">
        <v>1</v>
      </c>
      <c r="R54" s="16">
        <v>2</v>
      </c>
      <c r="S54" s="16">
        <v>2</v>
      </c>
      <c r="T54" s="16">
        <v>2</v>
      </c>
      <c r="U54" s="16">
        <v>2</v>
      </c>
      <c r="V54" s="14">
        <f t="shared" si="14"/>
        <v>3.5443617196894563</v>
      </c>
      <c r="W54" s="14">
        <f t="shared" si="15"/>
        <v>3.6585588858513916</v>
      </c>
      <c r="X54" s="14">
        <f t="shared" si="16"/>
        <v>4.1395495768354778</v>
      </c>
      <c r="Y54" s="14">
        <f t="shared" si="17"/>
        <v>4.2140129105764634</v>
      </c>
      <c r="Z54" s="14">
        <f t="shared" si="18"/>
        <v>4.7555647676185551</v>
      </c>
      <c r="AA54" s="14">
        <f t="shared" si="19"/>
        <v>3.5443617196894563</v>
      </c>
      <c r="AB54" s="4" t="s">
        <v>49</v>
      </c>
      <c r="AC54" s="4">
        <f t="shared" ref="AC54:AC60" si="20">AA54^2</f>
        <v>12.5625</v>
      </c>
    </row>
    <row r="55" spans="1:32" x14ac:dyDescent="0.35">
      <c r="A55" s="32" t="s">
        <v>7</v>
      </c>
      <c r="B55" s="32" t="s">
        <v>12</v>
      </c>
      <c r="C55" s="16">
        <v>7</v>
      </c>
      <c r="D55" s="16">
        <v>3.8</v>
      </c>
      <c r="E55" s="16">
        <v>3</v>
      </c>
      <c r="F55" s="16">
        <v>1</v>
      </c>
      <c r="G55" s="16">
        <v>2</v>
      </c>
      <c r="H55" s="16">
        <v>3</v>
      </c>
      <c r="I55" s="16">
        <v>1</v>
      </c>
      <c r="J55" s="16">
        <v>3</v>
      </c>
      <c r="K55" s="16">
        <v>2</v>
      </c>
      <c r="L55" s="16">
        <v>3</v>
      </c>
      <c r="M55" s="16">
        <v>1</v>
      </c>
      <c r="N55" s="16">
        <v>2</v>
      </c>
      <c r="O55" s="16">
        <v>2</v>
      </c>
      <c r="P55" s="16">
        <v>2</v>
      </c>
      <c r="Q55" s="16">
        <v>2</v>
      </c>
      <c r="R55" s="16">
        <v>2</v>
      </c>
      <c r="S55" s="16">
        <v>2</v>
      </c>
      <c r="T55" s="16">
        <v>3</v>
      </c>
      <c r="U55" s="16">
        <v>2</v>
      </c>
      <c r="V55" s="14">
        <f t="shared" si="14"/>
        <v>1.25</v>
      </c>
      <c r="W55" s="14">
        <f t="shared" si="15"/>
        <v>3.0923292192132452</v>
      </c>
      <c r="X55" s="14">
        <f t="shared" si="16"/>
        <v>4.6642987815047849</v>
      </c>
      <c r="Y55" s="14">
        <f t="shared" si="17"/>
        <v>4.3132552811391651</v>
      </c>
      <c r="Z55" s="14">
        <f t="shared" si="18"/>
        <v>4.7122522339103554</v>
      </c>
      <c r="AA55" s="14">
        <f t="shared" si="19"/>
        <v>1.25</v>
      </c>
      <c r="AB55" s="4" t="s">
        <v>49</v>
      </c>
      <c r="AC55" s="4">
        <f t="shared" si="20"/>
        <v>1.5625</v>
      </c>
    </row>
    <row r="56" spans="1:32" x14ac:dyDescent="0.35">
      <c r="A56" s="32" t="s">
        <v>8</v>
      </c>
      <c r="B56" s="32" t="s">
        <v>13</v>
      </c>
      <c r="C56" s="16">
        <v>5</v>
      </c>
      <c r="D56" s="16">
        <v>3.5</v>
      </c>
      <c r="E56" s="16">
        <v>2</v>
      </c>
      <c r="F56" s="16">
        <v>2</v>
      </c>
      <c r="G56" s="16">
        <v>2</v>
      </c>
      <c r="H56" s="16">
        <v>1</v>
      </c>
      <c r="I56" s="16">
        <v>2</v>
      </c>
      <c r="J56" s="16">
        <v>2</v>
      </c>
      <c r="K56" s="16">
        <v>1</v>
      </c>
      <c r="L56" s="16">
        <v>2</v>
      </c>
      <c r="M56" s="16">
        <v>2</v>
      </c>
      <c r="N56" s="16">
        <v>1</v>
      </c>
      <c r="O56" s="16">
        <v>1</v>
      </c>
      <c r="P56" s="16">
        <v>2</v>
      </c>
      <c r="Q56" s="16">
        <v>2</v>
      </c>
      <c r="R56" s="16">
        <v>2</v>
      </c>
      <c r="S56" s="16">
        <v>1</v>
      </c>
      <c r="T56" s="16">
        <v>2</v>
      </c>
      <c r="U56" s="16">
        <v>2</v>
      </c>
      <c r="V56" s="14">
        <f t="shared" si="14"/>
        <v>3.473110997362451</v>
      </c>
      <c r="W56" s="14">
        <f t="shared" si="15"/>
        <v>4.2626348671391261</v>
      </c>
      <c r="X56" s="14">
        <f t="shared" si="16"/>
        <v>4.5043948042488333</v>
      </c>
      <c r="Y56" s="14">
        <f t="shared" si="17"/>
        <v>4.5315203723976447</v>
      </c>
      <c r="Z56" s="14">
        <f t="shared" si="18"/>
        <v>5.1932803972014403</v>
      </c>
      <c r="AA56" s="14">
        <f t="shared" si="19"/>
        <v>3.473110997362451</v>
      </c>
      <c r="AB56" s="4" t="s">
        <v>49</v>
      </c>
      <c r="AC56" s="4">
        <f t="shared" si="20"/>
        <v>12.062499999999998</v>
      </c>
    </row>
    <row r="57" spans="1:32" x14ac:dyDescent="0.35">
      <c r="A57" s="32" t="s">
        <v>68</v>
      </c>
      <c r="B57" s="32" t="s">
        <v>69</v>
      </c>
      <c r="C57" s="16">
        <v>6</v>
      </c>
      <c r="D57" s="16">
        <v>3.2</v>
      </c>
      <c r="E57" s="16">
        <v>1</v>
      </c>
      <c r="F57" s="16">
        <v>3</v>
      </c>
      <c r="G57" s="16">
        <v>3</v>
      </c>
      <c r="H57" s="16">
        <v>2</v>
      </c>
      <c r="I57" s="16">
        <v>3</v>
      </c>
      <c r="J57" s="16">
        <v>1</v>
      </c>
      <c r="K57" s="16">
        <v>2</v>
      </c>
      <c r="L57" s="16">
        <v>2</v>
      </c>
      <c r="M57" s="16">
        <v>3</v>
      </c>
      <c r="N57" s="16">
        <v>2</v>
      </c>
      <c r="O57" s="16">
        <v>2</v>
      </c>
      <c r="P57" s="16">
        <v>3</v>
      </c>
      <c r="Q57" s="16">
        <v>2</v>
      </c>
      <c r="R57" s="16">
        <v>3</v>
      </c>
      <c r="S57" s="16">
        <v>2</v>
      </c>
      <c r="T57" s="16">
        <v>3</v>
      </c>
      <c r="U57" s="16">
        <v>2</v>
      </c>
      <c r="V57" s="14">
        <f t="shared" si="14"/>
        <v>4.1907636535600528</v>
      </c>
      <c r="W57" s="14">
        <f t="shared" si="15"/>
        <v>4.3358327211459375</v>
      </c>
      <c r="X57" s="14">
        <f t="shared" si="16"/>
        <v>5.5906672130377988</v>
      </c>
      <c r="Y57" s="14">
        <f t="shared" si="17"/>
        <v>6.1513587584598337</v>
      </c>
      <c r="Z57" s="14">
        <f t="shared" si="18"/>
        <v>7.306314424055512</v>
      </c>
      <c r="AA57" s="14">
        <f t="shared" si="19"/>
        <v>4.1907636535600528</v>
      </c>
      <c r="AB57" s="4" t="s">
        <v>49</v>
      </c>
      <c r="AC57" s="4">
        <f t="shared" si="20"/>
        <v>17.562500000000004</v>
      </c>
    </row>
    <row r="58" spans="1:32" x14ac:dyDescent="0.35">
      <c r="A58" s="32" t="s">
        <v>70</v>
      </c>
      <c r="B58" s="32" t="s">
        <v>71</v>
      </c>
      <c r="C58" s="16">
        <v>6</v>
      </c>
      <c r="D58" s="16">
        <v>3.6</v>
      </c>
      <c r="E58" s="16">
        <v>2</v>
      </c>
      <c r="F58" s="16">
        <v>2</v>
      </c>
      <c r="G58" s="16">
        <v>1</v>
      </c>
      <c r="H58" s="16">
        <v>3</v>
      </c>
      <c r="I58" s="16">
        <v>2</v>
      </c>
      <c r="J58" s="16">
        <v>2</v>
      </c>
      <c r="K58" s="16">
        <v>3</v>
      </c>
      <c r="L58" s="16">
        <v>1</v>
      </c>
      <c r="M58" s="16">
        <v>2</v>
      </c>
      <c r="N58" s="16">
        <v>3</v>
      </c>
      <c r="O58" s="16">
        <v>2</v>
      </c>
      <c r="P58" s="16">
        <v>2</v>
      </c>
      <c r="Q58" s="16">
        <v>3</v>
      </c>
      <c r="R58" s="16">
        <v>2</v>
      </c>
      <c r="S58" s="16">
        <v>3</v>
      </c>
      <c r="T58" s="16">
        <v>2</v>
      </c>
      <c r="U58" s="16">
        <v>3</v>
      </c>
      <c r="V58" s="14">
        <f t="shared" si="14"/>
        <v>2.9261749776799064</v>
      </c>
      <c r="W58" s="14">
        <f t="shared" si="15"/>
        <v>3.1397133769311449</v>
      </c>
      <c r="X58" s="14">
        <f t="shared" si="16"/>
        <v>3.762545238377363</v>
      </c>
      <c r="Y58" s="14">
        <f t="shared" si="17"/>
        <v>4.5485698154302066</v>
      </c>
      <c r="Z58" s="14">
        <f t="shared" si="18"/>
        <v>5.1728638578919544</v>
      </c>
      <c r="AA58" s="14">
        <f t="shared" si="19"/>
        <v>2.9261749776799064</v>
      </c>
      <c r="AB58" s="4" t="s">
        <v>49</v>
      </c>
      <c r="AC58" s="4">
        <f t="shared" si="20"/>
        <v>8.5625</v>
      </c>
    </row>
    <row r="59" spans="1:32" x14ac:dyDescent="0.35">
      <c r="A59" s="32" t="s">
        <v>72</v>
      </c>
      <c r="B59" s="32" t="s">
        <v>73</v>
      </c>
      <c r="C59" s="16">
        <v>7</v>
      </c>
      <c r="D59" s="16">
        <v>3.9</v>
      </c>
      <c r="E59" s="16">
        <v>3</v>
      </c>
      <c r="F59" s="16">
        <v>1</v>
      </c>
      <c r="G59" s="16">
        <v>2</v>
      </c>
      <c r="H59" s="16">
        <v>3</v>
      </c>
      <c r="I59" s="16">
        <v>1</v>
      </c>
      <c r="J59" s="16">
        <v>3</v>
      </c>
      <c r="K59" s="16">
        <v>2</v>
      </c>
      <c r="L59" s="16">
        <v>3</v>
      </c>
      <c r="M59" s="16">
        <v>2</v>
      </c>
      <c r="N59" s="16">
        <v>2</v>
      </c>
      <c r="O59" s="16">
        <v>2</v>
      </c>
      <c r="P59" s="16">
        <v>3</v>
      </c>
      <c r="Q59" s="16">
        <v>2</v>
      </c>
      <c r="R59" s="16">
        <v>3</v>
      </c>
      <c r="S59" s="16">
        <v>2</v>
      </c>
      <c r="T59" s="16">
        <v>3</v>
      </c>
      <c r="U59" s="16">
        <v>2</v>
      </c>
      <c r="V59" s="14">
        <f t="shared" si="14"/>
        <v>1.6007810593582121</v>
      </c>
      <c r="W59" s="14">
        <f t="shared" si="15"/>
        <v>3.1873775682474692</v>
      </c>
      <c r="X59" s="14">
        <f t="shared" si="16"/>
        <v>5.1545359880540582</v>
      </c>
      <c r="Y59" s="14">
        <f t="shared" si="17"/>
        <v>4.9619673126120878</v>
      </c>
      <c r="Z59" s="14">
        <f t="shared" si="18"/>
        <v>5.412355209431019</v>
      </c>
      <c r="AA59" s="14">
        <f t="shared" si="19"/>
        <v>1.6007810593582121</v>
      </c>
      <c r="AB59" s="4" t="s">
        <v>49</v>
      </c>
      <c r="AC59" s="4">
        <f t="shared" si="20"/>
        <v>2.5625</v>
      </c>
    </row>
    <row r="60" spans="1:32" x14ac:dyDescent="0.35">
      <c r="A60" s="32" t="s">
        <v>74</v>
      </c>
      <c r="B60" s="32" t="s">
        <v>75</v>
      </c>
      <c r="C60" s="16">
        <v>7</v>
      </c>
      <c r="D60" s="16">
        <v>3.5</v>
      </c>
      <c r="E60" s="16">
        <v>2</v>
      </c>
      <c r="F60" s="16">
        <v>3</v>
      </c>
      <c r="G60" s="16">
        <v>3</v>
      </c>
      <c r="H60" s="16">
        <v>2</v>
      </c>
      <c r="I60" s="16">
        <v>2</v>
      </c>
      <c r="J60" s="16">
        <v>2</v>
      </c>
      <c r="K60" s="16">
        <v>1</v>
      </c>
      <c r="L60" s="16">
        <v>2</v>
      </c>
      <c r="M60" s="16">
        <v>2</v>
      </c>
      <c r="N60" s="16">
        <v>2</v>
      </c>
      <c r="O60" s="16">
        <v>1</v>
      </c>
      <c r="P60" s="16">
        <v>2</v>
      </c>
      <c r="Q60" s="16">
        <v>1</v>
      </c>
      <c r="R60" s="16">
        <v>2</v>
      </c>
      <c r="S60" s="16">
        <v>2</v>
      </c>
      <c r="T60" s="16">
        <v>2</v>
      </c>
      <c r="U60" s="16">
        <v>2</v>
      </c>
      <c r="V60" s="14">
        <f t="shared" si="14"/>
        <v>3.473110997362451</v>
      </c>
      <c r="W60" s="14">
        <f t="shared" si="15"/>
        <v>3.6290571792891599</v>
      </c>
      <c r="X60" s="14">
        <f t="shared" si="16"/>
        <v>4.5633193296046848</v>
      </c>
      <c r="Y60" s="14">
        <f t="shared" si="17"/>
        <v>4.1674452950016292</v>
      </c>
      <c r="Z60" s="14">
        <f t="shared" si="18"/>
        <v>5.1080630767731776</v>
      </c>
      <c r="AA60" s="14">
        <f t="shared" si="19"/>
        <v>3.473110997362451</v>
      </c>
      <c r="AB60" s="4" t="s">
        <v>49</v>
      </c>
      <c r="AC60" s="4">
        <f t="shared" si="20"/>
        <v>12.062499999999998</v>
      </c>
    </row>
    <row r="61" spans="1:32" x14ac:dyDescent="0.35">
      <c r="A61" s="32" t="s">
        <v>77</v>
      </c>
      <c r="B61" s="32" t="s">
        <v>78</v>
      </c>
      <c r="C61" s="16">
        <v>5</v>
      </c>
      <c r="D61" s="16">
        <v>3.3</v>
      </c>
      <c r="E61" s="16">
        <v>1</v>
      </c>
      <c r="F61" s="16">
        <v>2</v>
      </c>
      <c r="G61" s="16">
        <v>2</v>
      </c>
      <c r="H61" s="16">
        <v>1</v>
      </c>
      <c r="I61" s="16">
        <v>3</v>
      </c>
      <c r="J61" s="16">
        <v>1</v>
      </c>
      <c r="K61" s="16">
        <v>2</v>
      </c>
      <c r="L61" s="16">
        <v>1</v>
      </c>
      <c r="M61" s="16">
        <v>2</v>
      </c>
      <c r="N61" s="16">
        <v>1</v>
      </c>
      <c r="O61" s="16">
        <v>2</v>
      </c>
      <c r="P61" s="16">
        <v>1</v>
      </c>
      <c r="Q61" s="16">
        <v>2</v>
      </c>
      <c r="R61" s="16">
        <v>1</v>
      </c>
      <c r="S61" s="16">
        <v>2</v>
      </c>
      <c r="T61" s="16">
        <v>2</v>
      </c>
      <c r="U61" s="16">
        <v>2</v>
      </c>
      <c r="V61" s="14">
        <f t="shared" si="14"/>
        <v>4.4791182167922292</v>
      </c>
      <c r="W61" s="14">
        <f t="shared" si="15"/>
        <v>4.7059565587488246</v>
      </c>
      <c r="X61" s="14">
        <f t="shared" si="16"/>
        <v>4.2974676299731289</v>
      </c>
      <c r="Y61" s="14">
        <f t="shared" si="17"/>
        <v>5.2655202742210996</v>
      </c>
      <c r="Z61" s="14">
        <f t="shared" si="18"/>
        <v>6.3569024062659842</v>
      </c>
      <c r="AA61" s="14">
        <f>MIN(V61:Z61)</f>
        <v>4.2974676299731289</v>
      </c>
      <c r="AB61" s="4" t="s">
        <v>58</v>
      </c>
      <c r="AC61" s="4">
        <f>AA61^2</f>
        <v>18.468228030666861</v>
      </c>
    </row>
    <row r="62" spans="1:32" x14ac:dyDescent="0.35">
      <c r="A62" s="97" t="s">
        <v>96</v>
      </c>
      <c r="B62" s="97"/>
      <c r="C62" s="97"/>
      <c r="D62" s="97"/>
      <c r="E62" s="97"/>
      <c r="F62" s="97"/>
      <c r="G62" s="97"/>
      <c r="H62" s="97"/>
      <c r="I62" s="97"/>
      <c r="J62" s="97"/>
      <c r="K62" s="97"/>
      <c r="L62" s="97"/>
      <c r="M62" s="97"/>
      <c r="N62" s="97"/>
      <c r="O62" s="97"/>
      <c r="P62" s="97"/>
      <c r="Q62" s="97"/>
      <c r="R62" s="97"/>
      <c r="Z62" s="14"/>
    </row>
    <row r="63" spans="1:32" x14ac:dyDescent="0.35">
      <c r="A63" s="43" t="s">
        <v>87</v>
      </c>
      <c r="B63" s="37" t="s">
        <v>64</v>
      </c>
      <c r="C63" s="37" t="s">
        <v>19</v>
      </c>
      <c r="D63" s="37" t="s">
        <v>65</v>
      </c>
      <c r="E63" s="37" t="s">
        <v>20</v>
      </c>
      <c r="F63" s="37" t="s">
        <v>66</v>
      </c>
      <c r="G63" s="37" t="s">
        <v>27</v>
      </c>
      <c r="H63" s="37" t="s">
        <v>14</v>
      </c>
      <c r="I63" s="37" t="s">
        <v>67</v>
      </c>
      <c r="J63" s="37" t="s">
        <v>15</v>
      </c>
      <c r="K63" s="37" t="s">
        <v>21</v>
      </c>
      <c r="L63" s="37" t="s">
        <v>16</v>
      </c>
      <c r="M63" s="37" t="s">
        <v>17</v>
      </c>
      <c r="N63" s="37" t="s">
        <v>18</v>
      </c>
      <c r="O63" s="37" t="s">
        <v>30</v>
      </c>
      <c r="P63" s="37" t="s">
        <v>31</v>
      </c>
      <c r="Q63" s="37" t="s">
        <v>32</v>
      </c>
      <c r="R63" s="37" t="s">
        <v>33</v>
      </c>
      <c r="V63" s="4" t="s">
        <v>49</v>
      </c>
      <c r="W63" s="100" t="s">
        <v>95</v>
      </c>
      <c r="X63" s="100"/>
      <c r="Y63" s="100"/>
      <c r="Z63" s="100"/>
      <c r="AA63" s="100"/>
      <c r="AB63" s="100"/>
      <c r="AC63" s="100"/>
      <c r="AD63" s="100"/>
      <c r="AF63" s="19"/>
    </row>
    <row r="64" spans="1:32" x14ac:dyDescent="0.35">
      <c r="A64" s="16" t="s">
        <v>49</v>
      </c>
      <c r="B64" s="16">
        <f>AVERAGEIFS(E$52:E$61,$AB$52:$AB$61, "C1")</f>
        <v>2.1111111111111112</v>
      </c>
      <c r="C64" s="16">
        <f t="shared" ref="C64:R64" si="21">AVERAGEIFS(F$52:F$61,$AB$52:$AB$61, "C1")</f>
        <v>2</v>
      </c>
      <c r="D64" s="16">
        <f t="shared" si="21"/>
        <v>2.3333333333333335</v>
      </c>
      <c r="E64" s="16">
        <f t="shared" si="21"/>
        <v>2.1111111111111112</v>
      </c>
      <c r="F64" s="16">
        <f t="shared" si="21"/>
        <v>1.7777777777777777</v>
      </c>
      <c r="G64" s="16">
        <f t="shared" si="21"/>
        <v>2</v>
      </c>
      <c r="H64" s="16">
        <f t="shared" si="21"/>
        <v>1.7777777777777777</v>
      </c>
      <c r="I64" s="16">
        <f t="shared" si="21"/>
        <v>2.3333333333333335</v>
      </c>
      <c r="J64" s="16">
        <f t="shared" si="21"/>
        <v>1.8888888888888888</v>
      </c>
      <c r="K64" s="16">
        <f t="shared" si="21"/>
        <v>2.1111111111111112</v>
      </c>
      <c r="L64" s="16">
        <f t="shared" si="21"/>
        <v>1.5555555555555556</v>
      </c>
      <c r="M64" s="16">
        <f t="shared" si="21"/>
        <v>2.2222222222222223</v>
      </c>
      <c r="N64" s="16">
        <f t="shared" si="21"/>
        <v>1.8888888888888888</v>
      </c>
      <c r="O64" s="16">
        <f t="shared" si="21"/>
        <v>2.3333333333333335</v>
      </c>
      <c r="P64" s="16">
        <f t="shared" si="21"/>
        <v>2.1111111111111112</v>
      </c>
      <c r="Q64" s="16">
        <f t="shared" si="21"/>
        <v>2.4444444444444446</v>
      </c>
      <c r="R64" s="16">
        <f t="shared" si="21"/>
        <v>2.1111111111111112</v>
      </c>
      <c r="V64" s="4" t="s">
        <v>58</v>
      </c>
      <c r="W64" s="100" t="s">
        <v>77</v>
      </c>
      <c r="X64" s="100"/>
      <c r="Y64" s="100"/>
      <c r="Z64" s="100"/>
      <c r="AA64" s="100"/>
      <c r="AB64" s="100"/>
      <c r="AC64" s="100"/>
      <c r="AD64" s="100"/>
      <c r="AF64" s="19"/>
    </row>
    <row r="65" spans="1:33" x14ac:dyDescent="0.35">
      <c r="A65" s="16" t="s">
        <v>58</v>
      </c>
      <c r="B65" s="16">
        <f>AVERAGEIFS(E$52:E$61,$AB$52:$AB$61, "C3")</f>
        <v>1</v>
      </c>
      <c r="C65" s="16">
        <f t="shared" ref="C65:R65" si="22">AVERAGEIFS(F$52:F$61,$AB$52:$AB$61, "C3")</f>
        <v>2</v>
      </c>
      <c r="D65" s="16">
        <f t="shared" si="22"/>
        <v>2</v>
      </c>
      <c r="E65" s="16">
        <f t="shared" si="22"/>
        <v>1</v>
      </c>
      <c r="F65" s="16">
        <f t="shared" si="22"/>
        <v>3</v>
      </c>
      <c r="G65" s="16">
        <f t="shared" si="22"/>
        <v>1</v>
      </c>
      <c r="H65" s="16">
        <f t="shared" si="22"/>
        <v>2</v>
      </c>
      <c r="I65" s="16">
        <f t="shared" si="22"/>
        <v>1</v>
      </c>
      <c r="J65" s="16">
        <f t="shared" si="22"/>
        <v>2</v>
      </c>
      <c r="K65" s="16">
        <f t="shared" si="22"/>
        <v>1</v>
      </c>
      <c r="L65" s="16">
        <f t="shared" si="22"/>
        <v>2</v>
      </c>
      <c r="M65" s="16">
        <f t="shared" si="22"/>
        <v>1</v>
      </c>
      <c r="N65" s="16">
        <f t="shared" si="22"/>
        <v>2</v>
      </c>
      <c r="O65" s="16">
        <f t="shared" si="22"/>
        <v>1</v>
      </c>
      <c r="P65" s="16">
        <f t="shared" si="22"/>
        <v>2</v>
      </c>
      <c r="Q65" s="16">
        <f t="shared" si="22"/>
        <v>2</v>
      </c>
      <c r="R65" s="16">
        <f t="shared" si="22"/>
        <v>2</v>
      </c>
      <c r="V65" s="30"/>
      <c r="W65" s="102"/>
      <c r="X65" s="102"/>
      <c r="Y65" s="102"/>
      <c r="Z65" s="102"/>
      <c r="AA65" s="102"/>
      <c r="AB65" s="102"/>
      <c r="AC65" s="102"/>
      <c r="AD65" s="102"/>
      <c r="AF65" s="19"/>
    </row>
    <row r="66" spans="1:33" x14ac:dyDescent="0.35">
      <c r="A66" s="18"/>
      <c r="B66" s="18"/>
      <c r="C66" s="18"/>
      <c r="D66" s="18"/>
      <c r="E66" s="18"/>
      <c r="F66" s="18"/>
      <c r="G66" s="18"/>
      <c r="H66" s="18"/>
      <c r="I66" s="18"/>
      <c r="J66" s="18"/>
      <c r="K66" s="18"/>
      <c r="L66" s="18"/>
      <c r="M66" s="18"/>
      <c r="N66" s="18"/>
      <c r="O66" s="18"/>
      <c r="P66" s="18"/>
      <c r="Q66" s="18"/>
      <c r="R66" s="18"/>
      <c r="V66" s="30"/>
      <c r="W66" s="96"/>
      <c r="X66" s="96"/>
      <c r="Y66" s="96"/>
      <c r="Z66" s="96"/>
      <c r="AA66" s="96"/>
      <c r="AB66" s="96"/>
      <c r="AC66" s="96"/>
      <c r="AD66" s="96"/>
      <c r="AF66" s="19"/>
    </row>
    <row r="67" spans="1:33" x14ac:dyDescent="0.35">
      <c r="A67" s="18"/>
      <c r="B67" s="18"/>
      <c r="C67" s="18"/>
      <c r="D67" s="18"/>
      <c r="E67" s="18"/>
      <c r="F67" s="18"/>
      <c r="G67" s="18"/>
      <c r="H67" s="18"/>
      <c r="I67" s="18"/>
      <c r="J67" s="18"/>
      <c r="K67" s="18"/>
      <c r="L67" s="18"/>
      <c r="M67" s="18"/>
      <c r="N67" s="18"/>
      <c r="O67" s="18"/>
      <c r="P67" s="18"/>
      <c r="Q67" s="18"/>
      <c r="R67" s="18"/>
      <c r="V67" s="30"/>
      <c r="W67" s="96"/>
      <c r="X67" s="96"/>
      <c r="Y67" s="96"/>
      <c r="Z67" s="96"/>
      <c r="AA67" s="96"/>
      <c r="AB67" s="96"/>
      <c r="AC67" s="96"/>
      <c r="AD67" s="96"/>
      <c r="AF67" s="19"/>
    </row>
    <row r="68" spans="1:33" x14ac:dyDescent="0.35">
      <c r="A68" s="18"/>
      <c r="B68" s="18"/>
      <c r="C68" s="18"/>
      <c r="D68" s="18"/>
      <c r="E68" s="18"/>
      <c r="F68" s="18"/>
      <c r="G68" s="18"/>
      <c r="H68" s="18"/>
      <c r="I68" s="18"/>
      <c r="J68" s="18"/>
      <c r="K68" s="18"/>
      <c r="L68" s="18"/>
      <c r="M68" s="18"/>
      <c r="N68" s="18"/>
      <c r="O68" s="18"/>
      <c r="P68" s="18"/>
      <c r="Q68" s="18"/>
      <c r="R68" s="18"/>
      <c r="AF68" s="19"/>
    </row>
    <row r="69" spans="1:33" x14ac:dyDescent="0.35">
      <c r="A69" s="33" t="s">
        <v>0</v>
      </c>
      <c r="B69" s="33" t="s">
        <v>1</v>
      </c>
      <c r="C69" s="33" t="s">
        <v>2</v>
      </c>
      <c r="D69" s="33" t="s">
        <v>3</v>
      </c>
      <c r="E69" s="33" t="s">
        <v>64</v>
      </c>
      <c r="F69" s="33" t="s">
        <v>19</v>
      </c>
      <c r="G69" s="33" t="s">
        <v>65</v>
      </c>
      <c r="H69" s="33" t="s">
        <v>20</v>
      </c>
      <c r="I69" s="33" t="s">
        <v>66</v>
      </c>
      <c r="J69" s="33" t="s">
        <v>27</v>
      </c>
      <c r="K69" s="33" t="s">
        <v>14</v>
      </c>
      <c r="L69" s="33" t="s">
        <v>67</v>
      </c>
      <c r="M69" s="33" t="s">
        <v>15</v>
      </c>
      <c r="N69" s="33" t="s">
        <v>21</v>
      </c>
      <c r="O69" s="33" t="s">
        <v>16</v>
      </c>
      <c r="P69" s="33" t="s">
        <v>17</v>
      </c>
      <c r="Q69" s="33" t="s">
        <v>18</v>
      </c>
      <c r="R69" s="33" t="s">
        <v>30</v>
      </c>
      <c r="S69" s="33" t="s">
        <v>31</v>
      </c>
      <c r="T69" s="33" t="s">
        <v>32</v>
      </c>
      <c r="U69" s="33" t="s">
        <v>33</v>
      </c>
      <c r="V69" s="4" t="s">
        <v>79</v>
      </c>
      <c r="W69" s="35" t="s">
        <v>81</v>
      </c>
      <c r="X69" s="4" t="s">
        <v>86</v>
      </c>
      <c r="Y69" s="36" t="s">
        <v>87</v>
      </c>
      <c r="Z69" s="4" t="s">
        <v>104</v>
      </c>
      <c r="AC69" s="4" t="s">
        <v>47</v>
      </c>
      <c r="AD69" s="4" t="s">
        <v>98</v>
      </c>
      <c r="AE69" s="30"/>
      <c r="AF69" s="4"/>
      <c r="AG69" s="4" t="s">
        <v>99</v>
      </c>
    </row>
    <row r="70" spans="1:33" x14ac:dyDescent="0.35">
      <c r="A70" s="32" t="s">
        <v>4</v>
      </c>
      <c r="B70" s="32" t="s">
        <v>9</v>
      </c>
      <c r="C70" s="16">
        <v>7</v>
      </c>
      <c r="D70" s="16">
        <v>3.4</v>
      </c>
      <c r="E70" s="16">
        <v>3</v>
      </c>
      <c r="F70" s="16">
        <v>1</v>
      </c>
      <c r="G70" s="16">
        <v>2</v>
      </c>
      <c r="H70" s="16">
        <v>2</v>
      </c>
      <c r="I70" s="16">
        <v>1</v>
      </c>
      <c r="J70" s="16">
        <v>2</v>
      </c>
      <c r="K70" s="16">
        <v>2</v>
      </c>
      <c r="L70" s="16">
        <v>3</v>
      </c>
      <c r="M70" s="16">
        <v>1</v>
      </c>
      <c r="N70" s="16">
        <v>2</v>
      </c>
      <c r="O70" s="16">
        <v>2</v>
      </c>
      <c r="P70" s="16">
        <v>2</v>
      </c>
      <c r="Q70" s="16">
        <v>2</v>
      </c>
      <c r="R70" s="16">
        <v>2</v>
      </c>
      <c r="S70" s="16">
        <v>2</v>
      </c>
      <c r="T70" s="16">
        <v>3</v>
      </c>
      <c r="U70" s="16">
        <v>2</v>
      </c>
      <c r="V70" s="14">
        <f>SQRT(SUMXMY2(E70:U70, $B$64:$R$64))</f>
        <v>2.1256807188565543</v>
      </c>
      <c r="W70" s="38">
        <f>SQRT(SUMXMY2(E70:U70, $B$65:$R$65))</f>
        <v>4.4721359549995796</v>
      </c>
      <c r="X70" s="39">
        <f>MIN(V70:W70)</f>
        <v>2.1256807188565543</v>
      </c>
      <c r="Y70" s="36" t="s">
        <v>49</v>
      </c>
      <c r="Z70" s="28">
        <f>X70^2</f>
        <v>4.5185185185185173</v>
      </c>
      <c r="AC70" s="14" t="s">
        <v>49</v>
      </c>
      <c r="AD70" s="14">
        <f>AVERAGEIF(Y$70:Y$79,"C1",X$70:X$79)</f>
        <v>2.4519210263497127</v>
      </c>
      <c r="AF70" s="14" t="s">
        <v>101</v>
      </c>
      <c r="AG70" s="32">
        <f>SQRT(SUMXMY2(B64:R64, B65:R65))</f>
        <v>3.4426518632954819</v>
      </c>
    </row>
    <row r="71" spans="1:33" x14ac:dyDescent="0.35">
      <c r="A71" s="32" t="s">
        <v>5</v>
      </c>
      <c r="B71" s="32" t="s">
        <v>10</v>
      </c>
      <c r="C71" s="16">
        <v>7</v>
      </c>
      <c r="D71" s="16">
        <v>3.7</v>
      </c>
      <c r="E71" s="16">
        <v>2</v>
      </c>
      <c r="F71" s="16">
        <v>3</v>
      </c>
      <c r="G71" s="16">
        <v>3</v>
      </c>
      <c r="H71" s="16">
        <v>1</v>
      </c>
      <c r="I71" s="16">
        <v>2</v>
      </c>
      <c r="J71" s="16">
        <v>2</v>
      </c>
      <c r="K71" s="16">
        <v>1</v>
      </c>
      <c r="L71" s="16">
        <v>3</v>
      </c>
      <c r="M71" s="16">
        <v>2</v>
      </c>
      <c r="N71" s="16">
        <v>3</v>
      </c>
      <c r="O71" s="16">
        <v>1</v>
      </c>
      <c r="P71" s="16">
        <v>2</v>
      </c>
      <c r="Q71" s="16">
        <v>2</v>
      </c>
      <c r="R71" s="16">
        <v>3</v>
      </c>
      <c r="S71" s="16">
        <v>3</v>
      </c>
      <c r="T71" s="16">
        <v>2</v>
      </c>
      <c r="U71" s="16">
        <v>2</v>
      </c>
      <c r="V71" s="14">
        <f t="shared" ref="V71:V79" si="23">SQRT(SUMXMY2(E71:U71, $B$64:$R$64))</f>
        <v>2.5312857221987817</v>
      </c>
      <c r="W71" s="38">
        <f t="shared" ref="W71:W79" si="24">SQRT(SUMXMY2(E71:U71, $B$65:$R$65))</f>
        <v>4.5825756949558398</v>
      </c>
      <c r="X71" s="39">
        <f t="shared" ref="X71:X79" si="25">MIN(V71:W71)</f>
        <v>2.5312857221987817</v>
      </c>
      <c r="Y71" s="36" t="s">
        <v>49</v>
      </c>
      <c r="Z71" s="28">
        <f t="shared" ref="Z71:Z79" si="26">X71^2</f>
        <v>6.4074074074074074</v>
      </c>
      <c r="AC71" s="14" t="s">
        <v>58</v>
      </c>
      <c r="AD71" s="14">
        <f>AVERAGEIF(Y$70:Y$79,"C3",X$70:X$79)</f>
        <v>0</v>
      </c>
      <c r="AF71" s="14" t="s">
        <v>100</v>
      </c>
      <c r="AG71" s="32">
        <f>(AD70+AD71)/AG70</f>
        <v>0.71221869759511747</v>
      </c>
    </row>
    <row r="72" spans="1:33" x14ac:dyDescent="0.35">
      <c r="A72" s="32" t="s">
        <v>6</v>
      </c>
      <c r="B72" s="32" t="s">
        <v>11</v>
      </c>
      <c r="C72" s="16">
        <v>7</v>
      </c>
      <c r="D72" s="16">
        <v>3.3</v>
      </c>
      <c r="E72" s="16">
        <v>1</v>
      </c>
      <c r="F72" s="16">
        <v>2</v>
      </c>
      <c r="G72" s="16">
        <v>3</v>
      </c>
      <c r="H72" s="16">
        <v>2</v>
      </c>
      <c r="I72" s="16">
        <v>2</v>
      </c>
      <c r="J72" s="16">
        <v>1</v>
      </c>
      <c r="K72" s="16">
        <v>2</v>
      </c>
      <c r="L72" s="16">
        <v>2</v>
      </c>
      <c r="M72" s="16">
        <v>2</v>
      </c>
      <c r="N72" s="16">
        <v>2</v>
      </c>
      <c r="O72" s="16">
        <v>1</v>
      </c>
      <c r="P72" s="16">
        <v>2</v>
      </c>
      <c r="Q72" s="16">
        <v>1</v>
      </c>
      <c r="R72" s="16">
        <v>2</v>
      </c>
      <c r="S72" s="16">
        <v>2</v>
      </c>
      <c r="T72" s="16">
        <v>2</v>
      </c>
      <c r="U72" s="16">
        <v>2</v>
      </c>
      <c r="V72" s="14">
        <f t="shared" si="23"/>
        <v>2.0993826252990209</v>
      </c>
      <c r="W72" s="38">
        <f t="shared" si="24"/>
        <v>3</v>
      </c>
      <c r="X72" s="39">
        <f t="shared" si="25"/>
        <v>2.0993826252990209</v>
      </c>
      <c r="Y72" s="36" t="s">
        <v>49</v>
      </c>
      <c r="Z72" s="28">
        <f t="shared" si="26"/>
        <v>4.4074074074074092</v>
      </c>
      <c r="AF72" s="40" t="s">
        <v>102</v>
      </c>
      <c r="AG72" s="40">
        <f>(AG71+AG71)/2</f>
        <v>0.71221869759511747</v>
      </c>
    </row>
    <row r="73" spans="1:33" x14ac:dyDescent="0.35">
      <c r="A73" s="32" t="s">
        <v>7</v>
      </c>
      <c r="B73" s="32" t="s">
        <v>12</v>
      </c>
      <c r="C73" s="16">
        <v>7</v>
      </c>
      <c r="D73" s="16">
        <v>3.8</v>
      </c>
      <c r="E73" s="16">
        <v>3</v>
      </c>
      <c r="F73" s="16">
        <v>1</v>
      </c>
      <c r="G73" s="16">
        <v>2</v>
      </c>
      <c r="H73" s="16">
        <v>3</v>
      </c>
      <c r="I73" s="16">
        <v>1</v>
      </c>
      <c r="J73" s="16">
        <v>3</v>
      </c>
      <c r="K73" s="16">
        <v>2</v>
      </c>
      <c r="L73" s="16">
        <v>3</v>
      </c>
      <c r="M73" s="16">
        <v>1</v>
      </c>
      <c r="N73" s="16">
        <v>2</v>
      </c>
      <c r="O73" s="16">
        <v>2</v>
      </c>
      <c r="P73" s="16">
        <v>2</v>
      </c>
      <c r="Q73" s="16">
        <v>2</v>
      </c>
      <c r="R73" s="16">
        <v>2</v>
      </c>
      <c r="S73" s="16">
        <v>2</v>
      </c>
      <c r="T73" s="16">
        <v>3</v>
      </c>
      <c r="U73" s="16">
        <v>2</v>
      </c>
      <c r="V73" s="14">
        <f t="shared" si="23"/>
        <v>2.5092421756969365</v>
      </c>
      <c r="W73" s="38">
        <f t="shared" si="24"/>
        <v>5.0990195135927845</v>
      </c>
      <c r="X73" s="39">
        <f t="shared" si="25"/>
        <v>2.5092421756969365</v>
      </c>
      <c r="Y73" s="36" t="s">
        <v>49</v>
      </c>
      <c r="Z73" s="28">
        <f t="shared" si="26"/>
        <v>6.2962962962962958</v>
      </c>
    </row>
    <row r="74" spans="1:33" x14ac:dyDescent="0.35">
      <c r="A74" s="32" t="s">
        <v>8</v>
      </c>
      <c r="B74" s="32" t="s">
        <v>13</v>
      </c>
      <c r="C74" s="16">
        <v>5</v>
      </c>
      <c r="D74" s="16">
        <v>3.5</v>
      </c>
      <c r="E74" s="16">
        <v>2</v>
      </c>
      <c r="F74" s="16">
        <v>2</v>
      </c>
      <c r="G74" s="16">
        <v>2</v>
      </c>
      <c r="H74" s="16">
        <v>1</v>
      </c>
      <c r="I74" s="16">
        <v>2</v>
      </c>
      <c r="J74" s="16">
        <v>2</v>
      </c>
      <c r="K74" s="16">
        <v>1</v>
      </c>
      <c r="L74" s="16">
        <v>2</v>
      </c>
      <c r="M74" s="16">
        <v>2</v>
      </c>
      <c r="N74" s="16">
        <v>1</v>
      </c>
      <c r="O74" s="16">
        <v>1</v>
      </c>
      <c r="P74" s="16">
        <v>2</v>
      </c>
      <c r="Q74" s="16">
        <v>2</v>
      </c>
      <c r="R74" s="16">
        <v>2</v>
      </c>
      <c r="S74" s="16">
        <v>1</v>
      </c>
      <c r="T74" s="16">
        <v>2</v>
      </c>
      <c r="U74" s="16">
        <v>2</v>
      </c>
      <c r="V74" s="14">
        <f t="shared" si="23"/>
        <v>2.301368353023109</v>
      </c>
      <c r="W74" s="38">
        <f t="shared" si="24"/>
        <v>3</v>
      </c>
      <c r="X74" s="39">
        <f t="shared" si="25"/>
        <v>2.301368353023109</v>
      </c>
      <c r="Y74" s="36" t="s">
        <v>49</v>
      </c>
      <c r="Z74" s="28">
        <f t="shared" si="26"/>
        <v>5.2962962962962976</v>
      </c>
    </row>
    <row r="75" spans="1:33" x14ac:dyDescent="0.35">
      <c r="A75" s="32" t="s">
        <v>68</v>
      </c>
      <c r="B75" s="32" t="s">
        <v>69</v>
      </c>
      <c r="C75" s="16">
        <v>6</v>
      </c>
      <c r="D75" s="16">
        <v>3.2</v>
      </c>
      <c r="E75" s="16">
        <v>1</v>
      </c>
      <c r="F75" s="16">
        <v>3</v>
      </c>
      <c r="G75" s="16">
        <v>3</v>
      </c>
      <c r="H75" s="16">
        <v>2</v>
      </c>
      <c r="I75" s="16">
        <v>3</v>
      </c>
      <c r="J75" s="16">
        <v>1</v>
      </c>
      <c r="K75" s="16">
        <v>2</v>
      </c>
      <c r="L75" s="16">
        <v>2</v>
      </c>
      <c r="M75" s="16">
        <v>3</v>
      </c>
      <c r="N75" s="16">
        <v>2</v>
      </c>
      <c r="O75" s="16">
        <v>2</v>
      </c>
      <c r="P75" s="16">
        <v>3</v>
      </c>
      <c r="Q75" s="16">
        <v>2</v>
      </c>
      <c r="R75" s="16">
        <v>3</v>
      </c>
      <c r="S75" s="16">
        <v>2</v>
      </c>
      <c r="T75" s="16">
        <v>3</v>
      </c>
      <c r="U75" s="16">
        <v>2</v>
      </c>
      <c r="V75" s="14">
        <f t="shared" si="23"/>
        <v>2.8609762643519407</v>
      </c>
      <c r="W75" s="38">
        <f t="shared" si="24"/>
        <v>3.872983346207417</v>
      </c>
      <c r="X75" s="39">
        <f t="shared" si="25"/>
        <v>2.8609762643519407</v>
      </c>
      <c r="Y75" s="36" t="s">
        <v>49</v>
      </c>
      <c r="Z75" s="28">
        <f t="shared" si="26"/>
        <v>8.1851851851851851</v>
      </c>
    </row>
    <row r="76" spans="1:33" x14ac:dyDescent="0.35">
      <c r="A76" s="32" t="s">
        <v>70</v>
      </c>
      <c r="B76" s="32" t="s">
        <v>71</v>
      </c>
      <c r="C76" s="16">
        <v>6</v>
      </c>
      <c r="D76" s="16">
        <v>3.6</v>
      </c>
      <c r="E76" s="16">
        <v>2</v>
      </c>
      <c r="F76" s="16">
        <v>2</v>
      </c>
      <c r="G76" s="16">
        <v>1</v>
      </c>
      <c r="H76" s="16">
        <v>3</v>
      </c>
      <c r="I76" s="16">
        <v>2</v>
      </c>
      <c r="J76" s="16">
        <v>2</v>
      </c>
      <c r="K76" s="16">
        <v>3</v>
      </c>
      <c r="L76" s="16">
        <v>1</v>
      </c>
      <c r="M76" s="16">
        <v>2</v>
      </c>
      <c r="N76" s="16">
        <v>3</v>
      </c>
      <c r="O76" s="16">
        <v>2</v>
      </c>
      <c r="P76" s="16">
        <v>2</v>
      </c>
      <c r="Q76" s="16">
        <v>3</v>
      </c>
      <c r="R76" s="16">
        <v>2</v>
      </c>
      <c r="S76" s="16">
        <v>3</v>
      </c>
      <c r="T76" s="16">
        <v>2</v>
      </c>
      <c r="U76" s="16">
        <v>3</v>
      </c>
      <c r="V76" s="14">
        <f t="shared" si="23"/>
        <v>3.1739681904634893</v>
      </c>
      <c r="W76" s="38">
        <f t="shared" si="24"/>
        <v>4.2426406871192848</v>
      </c>
      <c r="X76" s="39">
        <f t="shared" si="25"/>
        <v>3.1739681904634893</v>
      </c>
      <c r="Y76" s="36" t="s">
        <v>49</v>
      </c>
      <c r="Z76" s="28">
        <f t="shared" si="26"/>
        <v>10.074074074074076</v>
      </c>
    </row>
    <row r="77" spans="1:33" x14ac:dyDescent="0.35">
      <c r="A77" s="32" t="s">
        <v>72</v>
      </c>
      <c r="B77" s="32" t="s">
        <v>73</v>
      </c>
      <c r="C77" s="16">
        <v>7</v>
      </c>
      <c r="D77" s="16">
        <v>3.9</v>
      </c>
      <c r="E77" s="16">
        <v>3</v>
      </c>
      <c r="F77" s="16">
        <v>1</v>
      </c>
      <c r="G77" s="16">
        <v>2</v>
      </c>
      <c r="H77" s="16">
        <v>3</v>
      </c>
      <c r="I77" s="16">
        <v>1</v>
      </c>
      <c r="J77" s="16">
        <v>3</v>
      </c>
      <c r="K77" s="16">
        <v>2</v>
      </c>
      <c r="L77" s="16">
        <v>3</v>
      </c>
      <c r="M77" s="16">
        <v>2</v>
      </c>
      <c r="N77" s="16">
        <v>2</v>
      </c>
      <c r="O77" s="16">
        <v>2</v>
      </c>
      <c r="P77" s="16">
        <v>3</v>
      </c>
      <c r="Q77" s="16">
        <v>2</v>
      </c>
      <c r="R77" s="16">
        <v>3</v>
      </c>
      <c r="S77" s="16">
        <v>2</v>
      </c>
      <c r="T77" s="16">
        <v>3</v>
      </c>
      <c r="U77" s="16">
        <v>2</v>
      </c>
      <c r="V77" s="14">
        <f t="shared" si="23"/>
        <v>2.5312857221987817</v>
      </c>
      <c r="W77" s="38">
        <f t="shared" si="24"/>
        <v>5.5677643628300215</v>
      </c>
      <c r="X77" s="39">
        <f t="shared" si="25"/>
        <v>2.5312857221987817</v>
      </c>
      <c r="Y77" s="36" t="s">
        <v>49</v>
      </c>
      <c r="Z77" s="28">
        <f t="shared" si="26"/>
        <v>6.4074074074074074</v>
      </c>
    </row>
    <row r="78" spans="1:33" x14ac:dyDescent="0.35">
      <c r="A78" s="32" t="s">
        <v>74</v>
      </c>
      <c r="B78" s="32" t="s">
        <v>75</v>
      </c>
      <c r="C78" s="16">
        <v>7</v>
      </c>
      <c r="D78" s="16">
        <v>3.5</v>
      </c>
      <c r="E78" s="16">
        <v>2</v>
      </c>
      <c r="F78" s="16">
        <v>3</v>
      </c>
      <c r="G78" s="16">
        <v>3</v>
      </c>
      <c r="H78" s="16">
        <v>2</v>
      </c>
      <c r="I78" s="16">
        <v>2</v>
      </c>
      <c r="J78" s="16">
        <v>2</v>
      </c>
      <c r="K78" s="16">
        <v>1</v>
      </c>
      <c r="L78" s="16">
        <v>2</v>
      </c>
      <c r="M78" s="16">
        <v>2</v>
      </c>
      <c r="N78" s="16">
        <v>2</v>
      </c>
      <c r="O78" s="16">
        <v>1</v>
      </c>
      <c r="P78" s="16">
        <v>2</v>
      </c>
      <c r="Q78" s="16">
        <v>1</v>
      </c>
      <c r="R78" s="16">
        <v>2</v>
      </c>
      <c r="S78" s="16">
        <v>2</v>
      </c>
      <c r="T78" s="16">
        <v>2</v>
      </c>
      <c r="U78" s="16">
        <v>2</v>
      </c>
      <c r="V78" s="14">
        <f t="shared" si="23"/>
        <v>1.9340994650588013</v>
      </c>
      <c r="W78" s="38">
        <f t="shared" si="24"/>
        <v>3.6055512754639891</v>
      </c>
      <c r="X78" s="39">
        <f t="shared" si="25"/>
        <v>1.9340994650588013</v>
      </c>
      <c r="Y78" s="36" t="s">
        <v>49</v>
      </c>
      <c r="Z78" s="28">
        <f t="shared" si="26"/>
        <v>3.7407407407407414</v>
      </c>
    </row>
    <row r="79" spans="1:33" x14ac:dyDescent="0.35">
      <c r="A79" s="32" t="s">
        <v>77</v>
      </c>
      <c r="B79" s="32" t="s">
        <v>78</v>
      </c>
      <c r="C79" s="16">
        <v>5</v>
      </c>
      <c r="D79" s="16">
        <v>3.3</v>
      </c>
      <c r="E79" s="16">
        <v>1</v>
      </c>
      <c r="F79" s="16">
        <v>2</v>
      </c>
      <c r="G79" s="16">
        <v>2</v>
      </c>
      <c r="H79" s="16">
        <v>1</v>
      </c>
      <c r="I79" s="16">
        <v>3</v>
      </c>
      <c r="J79" s="16">
        <v>1</v>
      </c>
      <c r="K79" s="16">
        <v>2</v>
      </c>
      <c r="L79" s="16">
        <v>1</v>
      </c>
      <c r="M79" s="16">
        <v>2</v>
      </c>
      <c r="N79" s="16">
        <v>1</v>
      </c>
      <c r="O79" s="16">
        <v>2</v>
      </c>
      <c r="P79" s="16">
        <v>1</v>
      </c>
      <c r="Q79" s="16">
        <v>2</v>
      </c>
      <c r="R79" s="16">
        <v>1</v>
      </c>
      <c r="S79" s="16">
        <v>2</v>
      </c>
      <c r="T79" s="16">
        <v>2</v>
      </c>
      <c r="U79" s="16">
        <v>2</v>
      </c>
      <c r="V79" s="14">
        <f t="shared" si="23"/>
        <v>3.4426518632954819</v>
      </c>
      <c r="W79" s="38">
        <f t="shared" si="24"/>
        <v>0</v>
      </c>
      <c r="X79" s="14">
        <f t="shared" si="25"/>
        <v>0</v>
      </c>
      <c r="Y79" s="36" t="s">
        <v>58</v>
      </c>
      <c r="Z79" s="28">
        <f t="shared" si="26"/>
        <v>0</v>
      </c>
    </row>
    <row r="81" spans="1:30" x14ac:dyDescent="0.35">
      <c r="V81" s="4" t="s">
        <v>49</v>
      </c>
      <c r="W81" s="100" t="s">
        <v>95</v>
      </c>
      <c r="X81" s="100"/>
      <c r="Y81" s="100"/>
      <c r="Z81" s="100"/>
      <c r="AA81" s="100"/>
      <c r="AB81" s="100"/>
      <c r="AC81" s="100"/>
      <c r="AD81" s="100"/>
    </row>
    <row r="82" spans="1:30" x14ac:dyDescent="0.35">
      <c r="A82" s="97" t="s">
        <v>97</v>
      </c>
      <c r="B82" s="97"/>
      <c r="C82" s="97"/>
      <c r="D82" s="97"/>
      <c r="E82" s="97"/>
      <c r="F82" s="97"/>
      <c r="G82" s="97"/>
      <c r="H82" s="97"/>
      <c r="I82" s="97"/>
      <c r="J82" s="97"/>
      <c r="K82" s="97"/>
      <c r="L82" s="97"/>
      <c r="M82" s="97"/>
      <c r="N82" s="97"/>
      <c r="O82" s="97"/>
      <c r="P82" s="97"/>
      <c r="Q82" s="97"/>
      <c r="R82" s="97"/>
      <c r="V82" s="4" t="s">
        <v>58</v>
      </c>
      <c r="W82" s="100" t="s">
        <v>77</v>
      </c>
      <c r="X82" s="100"/>
      <c r="Y82" s="100"/>
      <c r="Z82" s="100"/>
      <c r="AA82" s="100"/>
      <c r="AB82" s="100"/>
      <c r="AC82" s="100"/>
      <c r="AD82" s="100"/>
    </row>
    <row r="83" spans="1:30" x14ac:dyDescent="0.35">
      <c r="A83" s="43" t="s">
        <v>87</v>
      </c>
      <c r="B83" s="37" t="s">
        <v>64</v>
      </c>
      <c r="C83" s="37" t="s">
        <v>19</v>
      </c>
      <c r="D83" s="37" t="s">
        <v>65</v>
      </c>
      <c r="E83" s="37" t="s">
        <v>20</v>
      </c>
      <c r="F83" s="37" t="s">
        <v>66</v>
      </c>
      <c r="G83" s="37" t="s">
        <v>27</v>
      </c>
      <c r="H83" s="37" t="s">
        <v>14</v>
      </c>
      <c r="I83" s="37" t="s">
        <v>67</v>
      </c>
      <c r="J83" s="37" t="s">
        <v>15</v>
      </c>
      <c r="K83" s="37" t="s">
        <v>21</v>
      </c>
      <c r="L83" s="37" t="s">
        <v>16</v>
      </c>
      <c r="M83" s="37" t="s">
        <v>17</v>
      </c>
      <c r="N83" s="37" t="s">
        <v>18</v>
      </c>
      <c r="O83" s="37" t="s">
        <v>30</v>
      </c>
      <c r="P83" s="37" t="s">
        <v>31</v>
      </c>
      <c r="Q83" s="37" t="s">
        <v>32</v>
      </c>
      <c r="R83" s="37" t="s">
        <v>33</v>
      </c>
    </row>
    <row r="84" spans="1:30" x14ac:dyDescent="0.35">
      <c r="A84" s="16" t="s">
        <v>49</v>
      </c>
      <c r="B84" s="16">
        <f>AVERAGEIFS(E$70:E$79,$Y$70:$Y$79, "C1")</f>
        <v>2.1111111111111112</v>
      </c>
      <c r="C84" s="16">
        <f t="shared" ref="C84:R84" si="27">AVERAGEIFS(F$70:F$79,$Y$70:$Y$79, "C1")</f>
        <v>2</v>
      </c>
      <c r="D84" s="16">
        <f t="shared" si="27"/>
        <v>2.3333333333333335</v>
      </c>
      <c r="E84" s="16">
        <f t="shared" si="27"/>
        <v>2.1111111111111112</v>
      </c>
      <c r="F84" s="16">
        <f t="shared" si="27"/>
        <v>1.7777777777777777</v>
      </c>
      <c r="G84" s="16">
        <f t="shared" si="27"/>
        <v>2</v>
      </c>
      <c r="H84" s="16">
        <f t="shared" si="27"/>
        <v>1.7777777777777777</v>
      </c>
      <c r="I84" s="16">
        <f t="shared" si="27"/>
        <v>2.3333333333333335</v>
      </c>
      <c r="J84" s="16">
        <f t="shared" si="27"/>
        <v>1.8888888888888888</v>
      </c>
      <c r="K84" s="16">
        <f t="shared" si="27"/>
        <v>2.1111111111111112</v>
      </c>
      <c r="L84" s="16">
        <f t="shared" si="27"/>
        <v>1.5555555555555556</v>
      </c>
      <c r="M84" s="16">
        <f t="shared" si="27"/>
        <v>2.2222222222222223</v>
      </c>
      <c r="N84" s="16">
        <f t="shared" si="27"/>
        <v>1.8888888888888888</v>
      </c>
      <c r="O84" s="16">
        <f t="shared" si="27"/>
        <v>2.3333333333333335</v>
      </c>
      <c r="P84" s="16">
        <f t="shared" si="27"/>
        <v>2.1111111111111112</v>
      </c>
      <c r="Q84" s="16">
        <f t="shared" si="27"/>
        <v>2.4444444444444446</v>
      </c>
      <c r="R84" s="16">
        <f t="shared" si="27"/>
        <v>2.1111111111111112</v>
      </c>
    </row>
    <row r="85" spans="1:30" x14ac:dyDescent="0.35">
      <c r="A85" s="16" t="s">
        <v>58</v>
      </c>
      <c r="B85" s="16">
        <f>AVERAGEIFS(E$70:E$79,$Y$70:$Y$79, "C3")</f>
        <v>1</v>
      </c>
      <c r="C85" s="16">
        <f t="shared" ref="C85:G85" si="28">AVERAGEIFS(F$70:F$79,$Y$70:$Y$79, "C3")</f>
        <v>2</v>
      </c>
      <c r="D85" s="16">
        <f t="shared" si="28"/>
        <v>2</v>
      </c>
      <c r="E85" s="16">
        <f t="shared" si="28"/>
        <v>1</v>
      </c>
      <c r="F85" s="16">
        <f t="shared" si="28"/>
        <v>3</v>
      </c>
      <c r="G85" s="16">
        <f t="shared" si="28"/>
        <v>1</v>
      </c>
      <c r="H85" s="16">
        <f t="shared" ref="H85" si="29">AVERAGEIFS(K$70:K$79,$Y$70:$Y$79, "C3")</f>
        <v>2</v>
      </c>
      <c r="I85" s="16">
        <f t="shared" ref="I85" si="30">AVERAGEIFS(L$70:L$79,$Y$70:$Y$79, "C3")</f>
        <v>1</v>
      </c>
      <c r="J85" s="16">
        <f t="shared" ref="J85" si="31">AVERAGEIFS(M$70:M$79,$Y$70:$Y$79, "C3")</f>
        <v>2</v>
      </c>
      <c r="K85" s="16">
        <f t="shared" ref="K85:L85" si="32">AVERAGEIFS(N$70:N$79,$Y$70:$Y$79, "C3")</f>
        <v>1</v>
      </c>
      <c r="L85" s="16">
        <f t="shared" si="32"/>
        <v>2</v>
      </c>
      <c r="M85" s="16">
        <f t="shared" ref="M85" si="33">AVERAGEIFS(P$70:P$79,$Y$70:$Y$79, "C3")</f>
        <v>1</v>
      </c>
      <c r="N85" s="16">
        <f t="shared" ref="N85" si="34">AVERAGEIFS(Q$70:Q$79,$Y$70:$Y$79, "C3")</f>
        <v>2</v>
      </c>
      <c r="O85" s="16">
        <f t="shared" ref="O85" si="35">AVERAGEIFS(R$70:R$79,$Y$70:$Y$79, "C3")</f>
        <v>1</v>
      </c>
      <c r="P85" s="16">
        <f t="shared" ref="P85:Q85" si="36">AVERAGEIFS(S$70:S$79,$Y$70:$Y$79, "C3")</f>
        <v>2</v>
      </c>
      <c r="Q85" s="16">
        <f t="shared" si="36"/>
        <v>2</v>
      </c>
      <c r="R85" s="16">
        <f t="shared" ref="R85" si="37">AVERAGEIFS(U$70:U$79,$Y$70:$Y$79, "C3")</f>
        <v>2</v>
      </c>
    </row>
    <row r="88" spans="1:30" x14ac:dyDescent="0.35">
      <c r="A88" s="30"/>
      <c r="B88" s="30"/>
    </row>
    <row r="89" spans="1:30" x14ac:dyDescent="0.35">
      <c r="B89" s="30"/>
    </row>
    <row r="90" spans="1:30" x14ac:dyDescent="0.35">
      <c r="B90" s="30"/>
    </row>
    <row r="91" spans="1:30" x14ac:dyDescent="0.35">
      <c r="B91" s="30"/>
    </row>
    <row r="92" spans="1:30" x14ac:dyDescent="0.35">
      <c r="B92" s="30"/>
    </row>
    <row r="93" spans="1:30" x14ac:dyDescent="0.35">
      <c r="B93" s="30"/>
    </row>
    <row r="94" spans="1:30" x14ac:dyDescent="0.35">
      <c r="B94" s="30"/>
    </row>
    <row r="95" spans="1:30" x14ac:dyDescent="0.35">
      <c r="B95" s="30"/>
    </row>
    <row r="96" spans="1:30" x14ac:dyDescent="0.35">
      <c r="B96" s="30"/>
    </row>
    <row r="97" spans="2:2" x14ac:dyDescent="0.35">
      <c r="B97" s="30"/>
    </row>
    <row r="98" spans="2:2" x14ac:dyDescent="0.35">
      <c r="B98" s="30"/>
    </row>
  </sheetData>
  <mergeCells count="16">
    <mergeCell ref="A15:U15"/>
    <mergeCell ref="AH24:AO24"/>
    <mergeCell ref="AH25:AO25"/>
    <mergeCell ref="AH26:AO26"/>
    <mergeCell ref="W67:AD67"/>
    <mergeCell ref="W63:AD63"/>
    <mergeCell ref="W64:AD64"/>
    <mergeCell ref="W65:AD65"/>
    <mergeCell ref="W66:AD66"/>
    <mergeCell ref="A42:R42"/>
    <mergeCell ref="A62:R62"/>
    <mergeCell ref="A82:R82"/>
    <mergeCell ref="AH28:AO28"/>
    <mergeCell ref="AH27:AO27"/>
    <mergeCell ref="W81:AD81"/>
    <mergeCell ref="W82:AD8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061F1-A388-40A0-A76E-1B7435F4E141}">
  <dimension ref="A1:Y138"/>
  <sheetViews>
    <sheetView topLeftCell="A57" zoomScale="55" zoomScaleNormal="55" workbookViewId="0">
      <selection activeCell="X59" sqref="X59"/>
    </sheetView>
  </sheetViews>
  <sheetFormatPr defaultRowHeight="14.5" x14ac:dyDescent="0.35"/>
  <cols>
    <col min="1" max="1" width="17.81640625" bestFit="1" customWidth="1"/>
    <col min="2" max="2" width="14.1796875" customWidth="1"/>
    <col min="3" max="3" width="14.54296875" bestFit="1" customWidth="1"/>
    <col min="5" max="5" width="13.36328125" customWidth="1"/>
    <col min="9" max="9" width="16.81640625" customWidth="1"/>
    <col min="10" max="12" width="10.26953125" bestFit="1" customWidth="1"/>
    <col min="14" max="14" width="19.36328125" customWidth="1"/>
    <col min="15" max="15" width="14.26953125" customWidth="1"/>
    <col min="16" max="16" width="18.7265625" customWidth="1"/>
    <col min="17" max="17" width="17.453125" customWidth="1"/>
    <col min="18" max="18" width="11.36328125" customWidth="1"/>
    <col min="23" max="23" width="17.26953125" customWidth="1"/>
    <col min="24" max="24" width="150.7265625" customWidth="1"/>
  </cols>
  <sheetData>
    <row r="1" spans="1:25" x14ac:dyDescent="0.35">
      <c r="A1" s="45" t="s">
        <v>105</v>
      </c>
      <c r="B1" s="45" t="s">
        <v>106</v>
      </c>
      <c r="C1" s="45" t="s">
        <v>107</v>
      </c>
      <c r="D1" s="45" t="s">
        <v>108</v>
      </c>
      <c r="E1" s="45" t="s">
        <v>109</v>
      </c>
      <c r="F1" s="45" t="s">
        <v>110</v>
      </c>
      <c r="G1" s="45" t="s">
        <v>111</v>
      </c>
      <c r="H1" s="45" t="s">
        <v>112</v>
      </c>
      <c r="I1" s="45" t="s">
        <v>113</v>
      </c>
      <c r="J1" s="45" t="s">
        <v>114</v>
      </c>
      <c r="K1" s="45" t="s">
        <v>115</v>
      </c>
      <c r="L1" s="45" t="s">
        <v>116</v>
      </c>
      <c r="M1" s="45" t="s">
        <v>117</v>
      </c>
      <c r="N1" s="45" t="s">
        <v>118</v>
      </c>
      <c r="O1" s="45" t="s">
        <v>119</v>
      </c>
      <c r="P1" s="45" t="s">
        <v>120</v>
      </c>
      <c r="Q1" s="45" t="s">
        <v>121</v>
      </c>
      <c r="R1" s="45" t="s">
        <v>122</v>
      </c>
      <c r="S1" s="45" t="s">
        <v>123</v>
      </c>
      <c r="T1" s="45" t="s">
        <v>124</v>
      </c>
      <c r="U1" s="45" t="s">
        <v>125</v>
      </c>
      <c r="V1" s="45" t="s">
        <v>126</v>
      </c>
      <c r="W1" s="45" t="s">
        <v>127</v>
      </c>
      <c r="X1" s="45" t="s">
        <v>128</v>
      </c>
      <c r="Y1" s="45" t="s">
        <v>129</v>
      </c>
    </row>
    <row r="2" spans="1:25" x14ac:dyDescent="0.35">
      <c r="A2" s="44">
        <v>46050.262193344897</v>
      </c>
      <c r="B2" s="14" t="s">
        <v>130</v>
      </c>
      <c r="C2" s="14" t="s">
        <v>131</v>
      </c>
      <c r="D2" s="14">
        <v>3.8</v>
      </c>
      <c r="E2" s="14">
        <v>7</v>
      </c>
      <c r="F2" s="14">
        <v>3</v>
      </c>
      <c r="G2" s="14">
        <v>2</v>
      </c>
      <c r="H2" s="14">
        <v>2</v>
      </c>
      <c r="I2" s="14">
        <v>2</v>
      </c>
      <c r="J2" s="14">
        <v>2</v>
      </c>
      <c r="K2" s="14">
        <v>3</v>
      </c>
      <c r="L2" s="14">
        <v>2</v>
      </c>
      <c r="M2" s="14">
        <v>3</v>
      </c>
      <c r="N2" s="14">
        <v>2</v>
      </c>
      <c r="O2" s="14">
        <v>3</v>
      </c>
      <c r="P2" s="14">
        <v>3</v>
      </c>
      <c r="Q2" s="14">
        <v>2</v>
      </c>
      <c r="R2" s="14">
        <v>2</v>
      </c>
      <c r="S2" s="14">
        <v>120</v>
      </c>
      <c r="T2" s="14">
        <v>2</v>
      </c>
      <c r="U2" s="14">
        <v>2</v>
      </c>
      <c r="V2" s="14">
        <v>3</v>
      </c>
      <c r="W2" s="14">
        <v>2</v>
      </c>
      <c r="X2" s="14" t="s">
        <v>132</v>
      </c>
      <c r="Y2" s="14" t="s">
        <v>133</v>
      </c>
    </row>
    <row r="3" spans="1:25" x14ac:dyDescent="0.35">
      <c r="A3" s="44">
        <v>46050.26299427083</v>
      </c>
      <c r="B3" s="14" t="s">
        <v>134</v>
      </c>
      <c r="C3" s="14" t="s">
        <v>135</v>
      </c>
      <c r="D3" s="14">
        <v>3.7</v>
      </c>
      <c r="E3" s="14">
        <v>7</v>
      </c>
      <c r="F3" s="14">
        <v>3</v>
      </c>
      <c r="G3" s="14">
        <v>2</v>
      </c>
      <c r="H3" s="14">
        <v>3</v>
      </c>
      <c r="I3" s="14">
        <v>2</v>
      </c>
      <c r="J3" s="14">
        <v>3</v>
      </c>
      <c r="K3" s="14">
        <v>2</v>
      </c>
      <c r="L3" s="14">
        <v>2</v>
      </c>
      <c r="M3" s="14">
        <v>3</v>
      </c>
      <c r="N3" s="14">
        <v>2</v>
      </c>
      <c r="O3" s="14">
        <v>2</v>
      </c>
      <c r="P3" s="14">
        <v>2</v>
      </c>
      <c r="Q3" s="14">
        <v>3</v>
      </c>
      <c r="R3" s="14">
        <v>2</v>
      </c>
      <c r="S3" s="14">
        <v>120</v>
      </c>
      <c r="T3" s="14">
        <v>3</v>
      </c>
      <c r="U3" s="14">
        <v>3</v>
      </c>
      <c r="V3" s="14">
        <v>3</v>
      </c>
      <c r="W3" s="14">
        <v>2</v>
      </c>
      <c r="X3" s="14" t="s">
        <v>136</v>
      </c>
      <c r="Y3" s="14" t="s">
        <v>133</v>
      </c>
    </row>
    <row r="4" spans="1:25" x14ac:dyDescent="0.35">
      <c r="A4" s="44">
        <v>46050.283431493059</v>
      </c>
      <c r="B4" s="14" t="s">
        <v>137</v>
      </c>
      <c r="C4" s="14" t="s">
        <v>138</v>
      </c>
      <c r="D4" s="14">
        <v>3.8</v>
      </c>
      <c r="E4" s="14">
        <v>7</v>
      </c>
      <c r="F4" s="14">
        <v>2</v>
      </c>
      <c r="G4" s="14">
        <v>2</v>
      </c>
      <c r="H4" s="14">
        <v>2</v>
      </c>
      <c r="I4" s="14">
        <v>3</v>
      </c>
      <c r="J4" s="14">
        <v>2</v>
      </c>
      <c r="K4" s="14">
        <v>2</v>
      </c>
      <c r="L4" s="14">
        <v>2</v>
      </c>
      <c r="M4" s="14">
        <v>2</v>
      </c>
      <c r="N4" s="14">
        <v>2</v>
      </c>
      <c r="O4" s="14">
        <v>3</v>
      </c>
      <c r="P4" s="14">
        <v>2</v>
      </c>
      <c r="Q4" s="14">
        <v>2</v>
      </c>
      <c r="R4" s="14">
        <v>2</v>
      </c>
      <c r="S4" s="14">
        <v>122</v>
      </c>
      <c r="T4" s="14">
        <v>2</v>
      </c>
      <c r="U4" s="14">
        <v>2</v>
      </c>
      <c r="V4" s="14">
        <v>2</v>
      </c>
      <c r="W4" s="14">
        <v>3</v>
      </c>
      <c r="X4" s="14" t="s">
        <v>139</v>
      </c>
      <c r="Y4" s="14" t="s">
        <v>133</v>
      </c>
    </row>
    <row r="5" spans="1:25" x14ac:dyDescent="0.35">
      <c r="A5" s="44">
        <v>46050.284407905092</v>
      </c>
      <c r="B5" s="14" t="s">
        <v>140</v>
      </c>
      <c r="C5" s="14" t="s">
        <v>141</v>
      </c>
      <c r="D5" s="14">
        <v>3.7</v>
      </c>
      <c r="E5" s="14">
        <v>7</v>
      </c>
      <c r="F5" s="14">
        <v>2</v>
      </c>
      <c r="G5" s="14">
        <v>2</v>
      </c>
      <c r="H5" s="14">
        <v>3</v>
      </c>
      <c r="I5" s="14">
        <v>2</v>
      </c>
      <c r="J5" s="14">
        <v>3</v>
      </c>
      <c r="K5" s="14">
        <v>2</v>
      </c>
      <c r="L5" s="14">
        <v>2</v>
      </c>
      <c r="M5" s="14">
        <v>2</v>
      </c>
      <c r="N5" s="14">
        <v>2</v>
      </c>
      <c r="O5" s="14">
        <v>2</v>
      </c>
      <c r="P5" s="14">
        <v>3</v>
      </c>
      <c r="Q5" s="14">
        <v>3</v>
      </c>
      <c r="R5" s="14">
        <v>2</v>
      </c>
      <c r="S5" s="14">
        <v>119</v>
      </c>
      <c r="T5" s="14">
        <v>3</v>
      </c>
      <c r="U5" s="14">
        <v>3</v>
      </c>
      <c r="V5" s="14">
        <v>2</v>
      </c>
      <c r="W5" s="14">
        <v>2</v>
      </c>
      <c r="X5" s="14" t="s">
        <v>142</v>
      </c>
      <c r="Y5" s="14" t="s">
        <v>133</v>
      </c>
    </row>
    <row r="6" spans="1:25" x14ac:dyDescent="0.35">
      <c r="A6" s="44">
        <v>46050.287067893521</v>
      </c>
      <c r="B6" s="14" t="s">
        <v>143</v>
      </c>
      <c r="C6" s="14" t="s">
        <v>144</v>
      </c>
      <c r="D6" s="14">
        <v>3.7</v>
      </c>
      <c r="E6" s="14">
        <v>7</v>
      </c>
      <c r="F6" s="14">
        <v>3</v>
      </c>
      <c r="G6" s="14">
        <v>2</v>
      </c>
      <c r="H6" s="14">
        <v>3</v>
      </c>
      <c r="I6" s="14">
        <v>2</v>
      </c>
      <c r="J6" s="14">
        <v>3</v>
      </c>
      <c r="K6" s="14">
        <v>2</v>
      </c>
      <c r="L6" s="14">
        <v>3</v>
      </c>
      <c r="M6" s="14">
        <v>2</v>
      </c>
      <c r="N6" s="14">
        <v>3</v>
      </c>
      <c r="O6" s="14">
        <v>2</v>
      </c>
      <c r="P6" s="14">
        <v>2</v>
      </c>
      <c r="Q6" s="14">
        <v>2</v>
      </c>
      <c r="R6" s="14">
        <v>2</v>
      </c>
      <c r="S6" s="14">
        <v>120</v>
      </c>
      <c r="T6" s="14">
        <v>2</v>
      </c>
      <c r="U6" s="14">
        <v>3</v>
      </c>
      <c r="V6" s="14">
        <v>2</v>
      </c>
      <c r="W6" s="14">
        <v>2</v>
      </c>
      <c r="X6" s="14" t="s">
        <v>145</v>
      </c>
      <c r="Y6" s="14" t="s">
        <v>133</v>
      </c>
    </row>
    <row r="7" spans="1:25" x14ac:dyDescent="0.35">
      <c r="A7" s="44">
        <v>46050.288233969914</v>
      </c>
      <c r="B7" s="14" t="s">
        <v>146</v>
      </c>
      <c r="C7" s="14" t="s">
        <v>147</v>
      </c>
      <c r="D7" s="14">
        <v>3.6</v>
      </c>
      <c r="E7" s="14">
        <v>7</v>
      </c>
      <c r="F7" s="14">
        <v>2</v>
      </c>
      <c r="G7" s="14">
        <v>2</v>
      </c>
      <c r="H7" s="14">
        <v>2</v>
      </c>
      <c r="I7" s="14">
        <v>2</v>
      </c>
      <c r="J7" s="14">
        <v>2</v>
      </c>
      <c r="K7" s="14">
        <v>2</v>
      </c>
      <c r="L7" s="14">
        <v>3</v>
      </c>
      <c r="M7" s="14">
        <v>2</v>
      </c>
      <c r="N7" s="14">
        <v>2</v>
      </c>
      <c r="O7" s="14">
        <v>2</v>
      </c>
      <c r="P7" s="14">
        <v>2</v>
      </c>
      <c r="Q7" s="14">
        <v>3</v>
      </c>
      <c r="R7" s="14">
        <v>2</v>
      </c>
      <c r="S7" s="14">
        <v>119</v>
      </c>
      <c r="T7" s="14">
        <v>2</v>
      </c>
      <c r="U7" s="14">
        <v>2</v>
      </c>
      <c r="V7" s="14">
        <v>2</v>
      </c>
      <c r="W7" s="14">
        <v>2</v>
      </c>
      <c r="X7" s="14" t="s">
        <v>148</v>
      </c>
      <c r="Y7" s="14" t="s">
        <v>133</v>
      </c>
    </row>
    <row r="8" spans="1:25" x14ac:dyDescent="0.35">
      <c r="A8" s="44">
        <v>46050.290445219907</v>
      </c>
      <c r="B8" s="14" t="s">
        <v>149</v>
      </c>
      <c r="C8" s="14" t="s">
        <v>11</v>
      </c>
      <c r="D8" s="14">
        <v>3.8</v>
      </c>
      <c r="E8" s="14">
        <v>7</v>
      </c>
      <c r="F8" s="14">
        <v>2</v>
      </c>
      <c r="G8" s="14">
        <v>3</v>
      </c>
      <c r="H8" s="14">
        <v>3</v>
      </c>
      <c r="I8" s="14">
        <v>2</v>
      </c>
      <c r="J8" s="14">
        <v>3</v>
      </c>
      <c r="K8" s="14">
        <v>2</v>
      </c>
      <c r="L8" s="14">
        <v>2</v>
      </c>
      <c r="M8" s="14">
        <v>2</v>
      </c>
      <c r="N8" s="14">
        <v>3</v>
      </c>
      <c r="O8" s="14">
        <v>2</v>
      </c>
      <c r="P8" s="14">
        <v>2</v>
      </c>
      <c r="Q8" s="14">
        <v>3</v>
      </c>
      <c r="R8" s="14">
        <v>2</v>
      </c>
      <c r="S8" s="14">
        <v>120</v>
      </c>
      <c r="T8" s="14">
        <v>3</v>
      </c>
      <c r="U8" s="14">
        <v>3</v>
      </c>
      <c r="V8" s="14">
        <v>2</v>
      </c>
      <c r="W8" s="14">
        <v>2</v>
      </c>
      <c r="X8" s="14" t="s">
        <v>150</v>
      </c>
      <c r="Y8" s="14" t="s">
        <v>133</v>
      </c>
    </row>
    <row r="9" spans="1:25" x14ac:dyDescent="0.35">
      <c r="A9" s="44">
        <v>46050.291332025467</v>
      </c>
      <c r="B9" s="14" t="s">
        <v>151</v>
      </c>
      <c r="C9" s="14" t="s">
        <v>152</v>
      </c>
      <c r="D9" s="14">
        <v>3.7</v>
      </c>
      <c r="E9" s="14">
        <v>7</v>
      </c>
      <c r="F9" s="14">
        <v>3</v>
      </c>
      <c r="G9" s="14">
        <v>2</v>
      </c>
      <c r="H9" s="14">
        <v>2</v>
      </c>
      <c r="I9" s="14">
        <v>3</v>
      </c>
      <c r="J9" s="14">
        <v>2</v>
      </c>
      <c r="K9" s="14">
        <v>2</v>
      </c>
      <c r="L9" s="14">
        <v>2</v>
      </c>
      <c r="M9" s="14">
        <v>3</v>
      </c>
      <c r="N9" s="14">
        <v>2</v>
      </c>
      <c r="O9" s="14">
        <v>3</v>
      </c>
      <c r="P9" s="14">
        <v>2</v>
      </c>
      <c r="Q9" s="14">
        <v>2</v>
      </c>
      <c r="R9" s="14">
        <v>2</v>
      </c>
      <c r="S9" s="14">
        <v>119</v>
      </c>
      <c r="T9" s="14">
        <v>2</v>
      </c>
      <c r="U9" s="14">
        <v>2</v>
      </c>
      <c r="V9" s="14">
        <v>3</v>
      </c>
      <c r="W9" s="14">
        <v>3</v>
      </c>
      <c r="X9" s="14" t="s">
        <v>153</v>
      </c>
      <c r="Y9" s="14" t="s">
        <v>133</v>
      </c>
    </row>
    <row r="10" spans="1:25" x14ac:dyDescent="0.35">
      <c r="A10" s="44">
        <v>46051.331695856483</v>
      </c>
      <c r="B10" s="14" t="s">
        <v>154</v>
      </c>
      <c r="C10" s="14" t="s">
        <v>155</v>
      </c>
      <c r="D10" s="14">
        <v>3.5</v>
      </c>
      <c r="E10" s="14">
        <v>7</v>
      </c>
      <c r="F10" s="14">
        <v>2</v>
      </c>
      <c r="G10" s="14">
        <v>2</v>
      </c>
      <c r="H10" s="14">
        <v>2</v>
      </c>
      <c r="I10" s="14">
        <v>2</v>
      </c>
      <c r="J10" s="14">
        <v>2</v>
      </c>
      <c r="K10" s="14">
        <v>2</v>
      </c>
      <c r="L10" s="14">
        <v>2</v>
      </c>
      <c r="M10" s="14">
        <v>2</v>
      </c>
      <c r="N10" s="14">
        <v>3</v>
      </c>
      <c r="O10" s="14">
        <v>2</v>
      </c>
      <c r="P10" s="14">
        <v>3</v>
      </c>
      <c r="Q10" s="14">
        <v>2</v>
      </c>
      <c r="R10" s="14">
        <v>3</v>
      </c>
      <c r="S10" s="14">
        <v>119</v>
      </c>
      <c r="T10" s="14">
        <v>2</v>
      </c>
      <c r="U10" s="14">
        <v>2</v>
      </c>
      <c r="V10" s="14">
        <v>2</v>
      </c>
      <c r="W10" s="14">
        <v>3</v>
      </c>
      <c r="X10" s="14" t="s">
        <v>156</v>
      </c>
      <c r="Y10" s="14" t="s">
        <v>133</v>
      </c>
    </row>
    <row r="11" spans="1:25" x14ac:dyDescent="0.35">
      <c r="A11" s="44">
        <v>46058.48975453704</v>
      </c>
      <c r="B11" s="14" t="s">
        <v>157</v>
      </c>
      <c r="C11" s="14" t="s">
        <v>158</v>
      </c>
      <c r="D11" s="14">
        <v>3.8</v>
      </c>
      <c r="E11" s="14">
        <v>7</v>
      </c>
      <c r="F11" s="14">
        <v>3</v>
      </c>
      <c r="G11" s="14">
        <v>3</v>
      </c>
      <c r="H11" s="14">
        <v>2</v>
      </c>
      <c r="I11" s="14">
        <v>3</v>
      </c>
      <c r="J11" s="14">
        <v>2</v>
      </c>
      <c r="K11" s="14">
        <v>3</v>
      </c>
      <c r="L11" s="14">
        <v>2</v>
      </c>
      <c r="M11" s="14">
        <v>3</v>
      </c>
      <c r="N11" s="14">
        <v>2</v>
      </c>
      <c r="O11" s="14">
        <v>2</v>
      </c>
      <c r="P11" s="14">
        <v>3</v>
      </c>
      <c r="Q11" s="14">
        <v>2</v>
      </c>
      <c r="R11" s="14">
        <v>2</v>
      </c>
      <c r="S11" s="14">
        <v>122</v>
      </c>
      <c r="T11" s="14">
        <v>2</v>
      </c>
      <c r="U11" s="14">
        <v>2</v>
      </c>
      <c r="V11" s="14">
        <v>3</v>
      </c>
      <c r="W11" s="14">
        <v>2</v>
      </c>
      <c r="X11" s="14" t="s">
        <v>159</v>
      </c>
      <c r="Y11" s="14" t="s">
        <v>133</v>
      </c>
    </row>
    <row r="12" spans="1:25" x14ac:dyDescent="0.35">
      <c r="A12" s="44">
        <v>46058.503878784722</v>
      </c>
      <c r="B12" s="14" t="s">
        <v>160</v>
      </c>
      <c r="C12" s="14" t="s">
        <v>161</v>
      </c>
      <c r="D12" s="14">
        <v>3.7</v>
      </c>
      <c r="E12" s="14">
        <v>7</v>
      </c>
      <c r="F12" s="14">
        <v>2</v>
      </c>
      <c r="G12" s="14">
        <v>2</v>
      </c>
      <c r="H12" s="14">
        <v>3</v>
      </c>
      <c r="I12" s="14">
        <v>2</v>
      </c>
      <c r="J12" s="14">
        <v>3</v>
      </c>
      <c r="K12" s="14">
        <v>3</v>
      </c>
      <c r="L12" s="14">
        <v>2</v>
      </c>
      <c r="M12" s="14">
        <v>2</v>
      </c>
      <c r="N12" s="14">
        <v>2</v>
      </c>
      <c r="O12" s="14">
        <v>2</v>
      </c>
      <c r="P12" s="14">
        <v>3</v>
      </c>
      <c r="Q12" s="14">
        <v>3</v>
      </c>
      <c r="R12" s="14">
        <v>2</v>
      </c>
      <c r="S12" s="14">
        <v>119</v>
      </c>
      <c r="T12" s="14">
        <v>3</v>
      </c>
      <c r="U12" s="14">
        <v>3</v>
      </c>
      <c r="V12" s="14">
        <v>2</v>
      </c>
      <c r="W12" s="14">
        <v>2</v>
      </c>
      <c r="X12" s="14" t="s">
        <v>162</v>
      </c>
      <c r="Y12" s="14" t="s">
        <v>133</v>
      </c>
    </row>
    <row r="13" spans="1:25" x14ac:dyDescent="0.35">
      <c r="A13" s="44">
        <v>46058.508931064818</v>
      </c>
      <c r="B13" s="14" t="s">
        <v>163</v>
      </c>
      <c r="C13" s="14" t="s">
        <v>164</v>
      </c>
      <c r="D13" s="14">
        <v>3.6</v>
      </c>
      <c r="E13" s="14">
        <v>7</v>
      </c>
      <c r="F13" s="14">
        <v>2</v>
      </c>
      <c r="G13" s="14">
        <v>2</v>
      </c>
      <c r="H13" s="14">
        <v>3</v>
      </c>
      <c r="I13" s="14">
        <v>2</v>
      </c>
      <c r="J13" s="14">
        <v>3</v>
      </c>
      <c r="K13" s="14">
        <v>2</v>
      </c>
      <c r="L13" s="14">
        <v>2</v>
      </c>
      <c r="M13" s="14">
        <v>2</v>
      </c>
      <c r="N13" s="14">
        <v>2</v>
      </c>
      <c r="O13" s="14">
        <v>2</v>
      </c>
      <c r="P13" s="14">
        <v>2</v>
      </c>
      <c r="Q13" s="14">
        <v>3</v>
      </c>
      <c r="R13" s="14">
        <v>2</v>
      </c>
      <c r="S13" s="14">
        <v>120</v>
      </c>
      <c r="T13" s="14">
        <v>3</v>
      </c>
      <c r="U13" s="14">
        <v>3</v>
      </c>
      <c r="V13" s="14">
        <v>2</v>
      </c>
      <c r="W13" s="14">
        <v>2</v>
      </c>
      <c r="X13" s="14" t="s">
        <v>165</v>
      </c>
      <c r="Y13" s="14" t="s">
        <v>133</v>
      </c>
    </row>
    <row r="14" spans="1:25" x14ac:dyDescent="0.35">
      <c r="A14" s="44">
        <v>46058.509829618059</v>
      </c>
      <c r="B14" s="14" t="s">
        <v>166</v>
      </c>
      <c r="C14" s="14" t="s">
        <v>167</v>
      </c>
      <c r="D14" s="14">
        <v>3.5</v>
      </c>
      <c r="E14" s="14">
        <v>7</v>
      </c>
      <c r="F14" s="14">
        <v>2</v>
      </c>
      <c r="G14" s="14">
        <v>2</v>
      </c>
      <c r="H14" s="14">
        <v>2</v>
      </c>
      <c r="I14" s="14">
        <v>2</v>
      </c>
      <c r="J14" s="14">
        <v>2</v>
      </c>
      <c r="K14" s="14">
        <v>2</v>
      </c>
      <c r="L14" s="14">
        <v>2</v>
      </c>
      <c r="M14" s="14">
        <v>2</v>
      </c>
      <c r="N14" s="14">
        <v>2</v>
      </c>
      <c r="O14" s="14">
        <v>2</v>
      </c>
      <c r="P14" s="14">
        <v>2</v>
      </c>
      <c r="Q14" s="14">
        <v>2</v>
      </c>
      <c r="R14" s="14">
        <v>2</v>
      </c>
      <c r="S14" s="14">
        <v>119</v>
      </c>
      <c r="T14" s="14">
        <v>2</v>
      </c>
      <c r="U14" s="14">
        <v>2</v>
      </c>
      <c r="V14" s="14">
        <v>2</v>
      </c>
      <c r="W14" s="14">
        <v>2</v>
      </c>
      <c r="X14" s="14" t="s">
        <v>168</v>
      </c>
      <c r="Y14" s="14" t="s">
        <v>133</v>
      </c>
    </row>
    <row r="15" spans="1:25" x14ac:dyDescent="0.35">
      <c r="A15" s="44">
        <v>46058.510758530087</v>
      </c>
      <c r="B15" s="14" t="s">
        <v>169</v>
      </c>
      <c r="C15" s="14" t="s">
        <v>170</v>
      </c>
      <c r="D15" s="14">
        <v>3.7</v>
      </c>
      <c r="E15" s="14">
        <v>8</v>
      </c>
      <c r="F15" s="14">
        <v>2</v>
      </c>
      <c r="G15" s="14">
        <v>2</v>
      </c>
      <c r="H15" s="14">
        <v>2</v>
      </c>
      <c r="I15" s="14">
        <v>2</v>
      </c>
      <c r="J15" s="14">
        <v>2</v>
      </c>
      <c r="K15" s="14">
        <v>3</v>
      </c>
      <c r="L15" s="14">
        <v>3</v>
      </c>
      <c r="M15" s="14">
        <v>2</v>
      </c>
      <c r="N15" s="14">
        <v>2</v>
      </c>
      <c r="O15" s="14">
        <v>2</v>
      </c>
      <c r="P15" s="14">
        <v>3</v>
      </c>
      <c r="Q15" s="14">
        <v>2</v>
      </c>
      <c r="R15" s="14">
        <v>3</v>
      </c>
      <c r="S15" s="14">
        <v>121</v>
      </c>
      <c r="T15" s="14">
        <v>2</v>
      </c>
      <c r="U15" s="14">
        <v>3</v>
      </c>
      <c r="V15" s="14">
        <v>2</v>
      </c>
      <c r="W15" s="14">
        <v>2</v>
      </c>
      <c r="X15" s="14" t="s">
        <v>171</v>
      </c>
      <c r="Y15" s="14" t="s">
        <v>133</v>
      </c>
    </row>
    <row r="16" spans="1:25" x14ac:dyDescent="0.35">
      <c r="A16" s="44">
        <v>46058.514247094907</v>
      </c>
      <c r="B16" s="14" t="s">
        <v>172</v>
      </c>
      <c r="C16" s="14" t="s">
        <v>173</v>
      </c>
      <c r="D16" s="14">
        <v>3.8</v>
      </c>
      <c r="E16" s="14">
        <v>7</v>
      </c>
      <c r="F16" s="14">
        <v>3</v>
      </c>
      <c r="G16" s="14">
        <v>3</v>
      </c>
      <c r="H16" s="14">
        <v>2</v>
      </c>
      <c r="I16" s="14">
        <v>2</v>
      </c>
      <c r="J16" s="14">
        <v>2</v>
      </c>
      <c r="K16" s="14">
        <v>2</v>
      </c>
      <c r="L16" s="14">
        <v>2</v>
      </c>
      <c r="M16" s="14">
        <v>3</v>
      </c>
      <c r="N16" s="14">
        <v>3</v>
      </c>
      <c r="O16" s="14">
        <v>2</v>
      </c>
      <c r="P16" s="14">
        <v>2</v>
      </c>
      <c r="Q16" s="14">
        <v>2</v>
      </c>
      <c r="R16" s="14">
        <v>2</v>
      </c>
      <c r="S16" s="14">
        <v>119</v>
      </c>
      <c r="T16" s="14">
        <v>2</v>
      </c>
      <c r="U16" s="14">
        <v>2</v>
      </c>
      <c r="V16" s="14">
        <v>3</v>
      </c>
      <c r="W16" s="14">
        <v>2</v>
      </c>
      <c r="X16" s="14" t="s">
        <v>174</v>
      </c>
      <c r="Y16" s="14" t="s">
        <v>133</v>
      </c>
    </row>
    <row r="17" spans="1:25" x14ac:dyDescent="0.35">
      <c r="A17" s="44">
        <v>46058.515278969913</v>
      </c>
      <c r="B17" s="14" t="s">
        <v>175</v>
      </c>
      <c r="C17" s="14" t="s">
        <v>176</v>
      </c>
      <c r="D17" s="14">
        <v>3.7</v>
      </c>
      <c r="E17" s="14">
        <v>8</v>
      </c>
      <c r="F17" s="14">
        <v>2</v>
      </c>
      <c r="G17" s="14">
        <v>2</v>
      </c>
      <c r="H17" s="14">
        <v>3</v>
      </c>
      <c r="I17" s="14">
        <v>3</v>
      </c>
      <c r="J17" s="14">
        <v>3</v>
      </c>
      <c r="K17" s="14">
        <v>2</v>
      </c>
      <c r="L17" s="14">
        <v>2</v>
      </c>
      <c r="M17" s="14">
        <v>2</v>
      </c>
      <c r="N17" s="14">
        <v>2</v>
      </c>
      <c r="O17" s="14">
        <v>3</v>
      </c>
      <c r="P17" s="14">
        <v>2</v>
      </c>
      <c r="Q17" s="14">
        <v>3</v>
      </c>
      <c r="R17" s="14">
        <v>2</v>
      </c>
      <c r="S17" s="14">
        <v>119</v>
      </c>
      <c r="T17" s="14">
        <v>3</v>
      </c>
      <c r="U17" s="14">
        <v>3</v>
      </c>
      <c r="V17" s="14">
        <v>2</v>
      </c>
      <c r="W17" s="14">
        <v>3</v>
      </c>
      <c r="X17" s="14" t="s">
        <v>177</v>
      </c>
      <c r="Y17" s="14" t="s">
        <v>133</v>
      </c>
    </row>
    <row r="18" spans="1:25" x14ac:dyDescent="0.35">
      <c r="A18" s="44">
        <v>46058.516692974539</v>
      </c>
      <c r="B18" s="14" t="s">
        <v>178</v>
      </c>
      <c r="C18" s="14" t="s">
        <v>179</v>
      </c>
      <c r="D18" s="14">
        <v>3.6</v>
      </c>
      <c r="E18" s="14">
        <v>7</v>
      </c>
      <c r="F18" s="14">
        <v>3</v>
      </c>
      <c r="G18" s="14">
        <v>2</v>
      </c>
      <c r="H18" s="14">
        <v>2</v>
      </c>
      <c r="I18" s="14">
        <v>2</v>
      </c>
      <c r="J18" s="14">
        <v>2</v>
      </c>
      <c r="K18" s="14">
        <v>3</v>
      </c>
      <c r="L18" s="14">
        <v>2</v>
      </c>
      <c r="M18" s="14">
        <v>3</v>
      </c>
      <c r="N18" s="14">
        <v>2</v>
      </c>
      <c r="O18" s="14">
        <v>2</v>
      </c>
      <c r="P18" s="14">
        <v>3</v>
      </c>
      <c r="Q18" s="14">
        <v>2</v>
      </c>
      <c r="R18" s="14">
        <v>2</v>
      </c>
      <c r="S18" s="14">
        <v>120</v>
      </c>
      <c r="T18" s="14">
        <v>2</v>
      </c>
      <c r="U18" s="14">
        <v>2</v>
      </c>
      <c r="V18" s="14">
        <v>3</v>
      </c>
      <c r="W18" s="14">
        <v>2</v>
      </c>
      <c r="X18" s="14" t="s">
        <v>180</v>
      </c>
      <c r="Y18" s="14" t="s">
        <v>133</v>
      </c>
    </row>
    <row r="19" spans="1:25" x14ac:dyDescent="0.35">
      <c r="A19" s="44">
        <v>46058.517446296297</v>
      </c>
      <c r="B19" s="14" t="s">
        <v>181</v>
      </c>
      <c r="C19" s="14" t="s">
        <v>182</v>
      </c>
      <c r="D19" s="14">
        <v>3.3</v>
      </c>
      <c r="E19" s="14">
        <v>9</v>
      </c>
      <c r="F19" s="14">
        <v>2</v>
      </c>
      <c r="G19" s="14">
        <v>2</v>
      </c>
      <c r="H19" s="14">
        <v>2</v>
      </c>
      <c r="I19" s="14">
        <v>2</v>
      </c>
      <c r="J19" s="14">
        <v>2</v>
      </c>
      <c r="K19" s="14">
        <v>2</v>
      </c>
      <c r="L19" s="14">
        <v>2</v>
      </c>
      <c r="M19" s="14">
        <v>2</v>
      </c>
      <c r="N19" s="14">
        <v>2</v>
      </c>
      <c r="O19" s="14">
        <v>2</v>
      </c>
      <c r="P19" s="14">
        <v>2</v>
      </c>
      <c r="Q19" s="14">
        <v>2</v>
      </c>
      <c r="R19" s="14">
        <v>2</v>
      </c>
      <c r="S19" s="14">
        <v>120</v>
      </c>
      <c r="T19" s="14">
        <v>2</v>
      </c>
      <c r="U19" s="14">
        <v>2</v>
      </c>
      <c r="V19" s="14">
        <v>2</v>
      </c>
      <c r="W19" s="14">
        <v>2</v>
      </c>
      <c r="X19" s="14" t="s">
        <v>183</v>
      </c>
      <c r="Y19" s="14" t="s">
        <v>133</v>
      </c>
    </row>
    <row r="21" spans="1:25" x14ac:dyDescent="0.35">
      <c r="A21" s="45" t="s">
        <v>106</v>
      </c>
      <c r="B21" s="45" t="s">
        <v>110</v>
      </c>
      <c r="C21" s="45" t="s">
        <v>111</v>
      </c>
      <c r="D21" s="45" t="s">
        <v>112</v>
      </c>
      <c r="E21" s="45" t="s">
        <v>113</v>
      </c>
      <c r="F21" s="45" t="s">
        <v>114</v>
      </c>
      <c r="G21" s="45" t="s">
        <v>115</v>
      </c>
      <c r="H21" s="45" t="s">
        <v>116</v>
      </c>
      <c r="I21" s="45" t="s">
        <v>117</v>
      </c>
      <c r="J21" s="45" t="s">
        <v>118</v>
      </c>
      <c r="K21" s="45" t="s">
        <v>119</v>
      </c>
      <c r="L21" s="45" t="s">
        <v>120</v>
      </c>
      <c r="M21" s="45" t="s">
        <v>121</v>
      </c>
      <c r="N21" s="45" t="s">
        <v>122</v>
      </c>
      <c r="O21" s="45" t="s">
        <v>124</v>
      </c>
      <c r="P21" s="45" t="s">
        <v>125</v>
      </c>
      <c r="Q21" s="45" t="s">
        <v>126</v>
      </c>
      <c r="R21" s="45" t="s">
        <v>127</v>
      </c>
    </row>
    <row r="22" spans="1:25" x14ac:dyDescent="0.35">
      <c r="A22" s="14" t="s">
        <v>130</v>
      </c>
      <c r="B22" s="4">
        <v>3</v>
      </c>
      <c r="C22" s="4">
        <v>2</v>
      </c>
      <c r="D22" s="4">
        <v>2</v>
      </c>
      <c r="E22" s="4">
        <v>2</v>
      </c>
      <c r="F22" s="4">
        <v>2</v>
      </c>
      <c r="G22" s="4">
        <v>3</v>
      </c>
      <c r="H22" s="4">
        <v>2</v>
      </c>
      <c r="I22" s="4">
        <v>3</v>
      </c>
      <c r="J22" s="4">
        <v>2</v>
      </c>
      <c r="K22" s="4">
        <v>3</v>
      </c>
      <c r="L22" s="4">
        <v>3</v>
      </c>
      <c r="M22" s="4">
        <v>2</v>
      </c>
      <c r="N22" s="4">
        <v>2</v>
      </c>
      <c r="O22" s="4">
        <v>2</v>
      </c>
      <c r="P22" s="4">
        <v>2</v>
      </c>
      <c r="Q22" s="4">
        <v>3</v>
      </c>
      <c r="R22" s="4">
        <v>2</v>
      </c>
    </row>
    <row r="23" spans="1:25" x14ac:dyDescent="0.35">
      <c r="A23" s="14" t="s">
        <v>134</v>
      </c>
      <c r="B23" s="4">
        <v>3</v>
      </c>
      <c r="C23" s="4">
        <v>2</v>
      </c>
      <c r="D23" s="4">
        <v>3</v>
      </c>
      <c r="E23" s="4">
        <v>2</v>
      </c>
      <c r="F23" s="4">
        <v>3</v>
      </c>
      <c r="G23" s="4">
        <v>2</v>
      </c>
      <c r="H23" s="4">
        <v>2</v>
      </c>
      <c r="I23" s="4">
        <v>3</v>
      </c>
      <c r="J23" s="4">
        <v>2</v>
      </c>
      <c r="K23" s="4">
        <v>2</v>
      </c>
      <c r="L23" s="4">
        <v>2</v>
      </c>
      <c r="M23" s="4">
        <v>3</v>
      </c>
      <c r="N23" s="4">
        <v>2</v>
      </c>
      <c r="O23" s="4">
        <v>3</v>
      </c>
      <c r="P23" s="4">
        <v>3</v>
      </c>
      <c r="Q23" s="4">
        <v>3</v>
      </c>
      <c r="R23" s="4">
        <v>2</v>
      </c>
    </row>
    <row r="24" spans="1:25" x14ac:dyDescent="0.35">
      <c r="A24" s="14" t="s">
        <v>137</v>
      </c>
      <c r="B24" s="4">
        <v>2</v>
      </c>
      <c r="C24" s="4">
        <v>2</v>
      </c>
      <c r="D24" s="4">
        <v>2</v>
      </c>
      <c r="E24" s="4">
        <v>3</v>
      </c>
      <c r="F24" s="4">
        <v>2</v>
      </c>
      <c r="G24" s="4">
        <v>2</v>
      </c>
      <c r="H24" s="4">
        <v>2</v>
      </c>
      <c r="I24" s="4">
        <v>2</v>
      </c>
      <c r="J24" s="4">
        <v>2</v>
      </c>
      <c r="K24" s="4">
        <v>3</v>
      </c>
      <c r="L24" s="4">
        <v>2</v>
      </c>
      <c r="M24" s="4">
        <v>2</v>
      </c>
      <c r="N24" s="4">
        <v>2</v>
      </c>
      <c r="O24" s="4">
        <v>2</v>
      </c>
      <c r="P24" s="4">
        <v>2</v>
      </c>
      <c r="Q24" s="4">
        <v>2</v>
      </c>
      <c r="R24" s="4">
        <v>3</v>
      </c>
    </row>
    <row r="25" spans="1:25" x14ac:dyDescent="0.35">
      <c r="A25" s="14" t="s">
        <v>140</v>
      </c>
      <c r="B25" s="4">
        <v>2</v>
      </c>
      <c r="C25" s="4">
        <v>2</v>
      </c>
      <c r="D25" s="4">
        <v>3</v>
      </c>
      <c r="E25" s="4">
        <v>2</v>
      </c>
      <c r="F25" s="4">
        <v>3</v>
      </c>
      <c r="G25" s="4">
        <v>2</v>
      </c>
      <c r="H25" s="4">
        <v>2</v>
      </c>
      <c r="I25" s="4">
        <v>2</v>
      </c>
      <c r="J25" s="4">
        <v>2</v>
      </c>
      <c r="K25" s="4">
        <v>2</v>
      </c>
      <c r="L25" s="4">
        <v>3</v>
      </c>
      <c r="M25" s="4">
        <v>3</v>
      </c>
      <c r="N25" s="4">
        <v>2</v>
      </c>
      <c r="O25" s="4">
        <v>3</v>
      </c>
      <c r="P25" s="4">
        <v>3</v>
      </c>
      <c r="Q25" s="4">
        <v>2</v>
      </c>
      <c r="R25" s="4">
        <v>2</v>
      </c>
    </row>
    <row r="26" spans="1:25" x14ac:dyDescent="0.35">
      <c r="A26" s="14" t="s">
        <v>143</v>
      </c>
      <c r="B26" s="4">
        <v>3</v>
      </c>
      <c r="C26" s="4">
        <v>2</v>
      </c>
      <c r="D26" s="4">
        <v>3</v>
      </c>
      <c r="E26" s="4">
        <v>2</v>
      </c>
      <c r="F26" s="4">
        <v>3</v>
      </c>
      <c r="G26" s="4">
        <v>2</v>
      </c>
      <c r="H26" s="4">
        <v>3</v>
      </c>
      <c r="I26" s="4">
        <v>2</v>
      </c>
      <c r="J26" s="4">
        <v>3</v>
      </c>
      <c r="K26" s="4">
        <v>2</v>
      </c>
      <c r="L26" s="4">
        <v>2</v>
      </c>
      <c r="M26" s="4">
        <v>2</v>
      </c>
      <c r="N26" s="4">
        <v>2</v>
      </c>
      <c r="O26" s="4">
        <v>2</v>
      </c>
      <c r="P26" s="4">
        <v>3</v>
      </c>
      <c r="Q26" s="4">
        <v>2</v>
      </c>
      <c r="R26" s="4">
        <v>2</v>
      </c>
    </row>
    <row r="27" spans="1:25" x14ac:dyDescent="0.35">
      <c r="A27" s="14" t="s">
        <v>146</v>
      </c>
      <c r="B27" s="4">
        <v>2</v>
      </c>
      <c r="C27" s="4">
        <v>2</v>
      </c>
      <c r="D27" s="4">
        <v>2</v>
      </c>
      <c r="E27" s="4">
        <v>2</v>
      </c>
      <c r="F27" s="4">
        <v>2</v>
      </c>
      <c r="G27" s="4">
        <v>2</v>
      </c>
      <c r="H27" s="4">
        <v>3</v>
      </c>
      <c r="I27" s="4">
        <v>2</v>
      </c>
      <c r="J27" s="4">
        <v>2</v>
      </c>
      <c r="K27" s="4">
        <v>2</v>
      </c>
      <c r="L27" s="4">
        <v>2</v>
      </c>
      <c r="M27" s="4">
        <v>3</v>
      </c>
      <c r="N27" s="4">
        <v>2</v>
      </c>
      <c r="O27" s="4">
        <v>2</v>
      </c>
      <c r="P27" s="4">
        <v>2</v>
      </c>
      <c r="Q27" s="4">
        <v>2</v>
      </c>
      <c r="R27" s="4">
        <v>2</v>
      </c>
    </row>
    <row r="28" spans="1:25" x14ac:dyDescent="0.35">
      <c r="A28" s="14" t="s">
        <v>149</v>
      </c>
      <c r="B28" s="4">
        <v>2</v>
      </c>
      <c r="C28" s="4">
        <v>3</v>
      </c>
      <c r="D28" s="4">
        <v>3</v>
      </c>
      <c r="E28" s="4">
        <v>2</v>
      </c>
      <c r="F28" s="4">
        <v>3</v>
      </c>
      <c r="G28" s="4">
        <v>2</v>
      </c>
      <c r="H28" s="4">
        <v>2</v>
      </c>
      <c r="I28" s="4">
        <v>2</v>
      </c>
      <c r="J28" s="4">
        <v>3</v>
      </c>
      <c r="K28" s="4">
        <v>2</v>
      </c>
      <c r="L28" s="4">
        <v>2</v>
      </c>
      <c r="M28" s="4">
        <v>3</v>
      </c>
      <c r="N28" s="4">
        <v>2</v>
      </c>
      <c r="O28" s="4">
        <v>3</v>
      </c>
      <c r="P28" s="4">
        <v>3</v>
      </c>
      <c r="Q28" s="4">
        <v>2</v>
      </c>
      <c r="R28" s="4">
        <v>2</v>
      </c>
    </row>
    <row r="29" spans="1:25" x14ac:dyDescent="0.35">
      <c r="A29" s="14" t="s">
        <v>151</v>
      </c>
      <c r="B29" s="4">
        <v>3</v>
      </c>
      <c r="C29" s="4">
        <v>2</v>
      </c>
      <c r="D29" s="4">
        <v>2</v>
      </c>
      <c r="E29" s="4">
        <v>3</v>
      </c>
      <c r="F29" s="4">
        <v>2</v>
      </c>
      <c r="G29" s="4">
        <v>2</v>
      </c>
      <c r="H29" s="4">
        <v>2</v>
      </c>
      <c r="I29" s="4">
        <v>3</v>
      </c>
      <c r="J29" s="4">
        <v>2</v>
      </c>
      <c r="K29" s="4">
        <v>3</v>
      </c>
      <c r="L29" s="4">
        <v>2</v>
      </c>
      <c r="M29" s="4">
        <v>2</v>
      </c>
      <c r="N29" s="4">
        <v>2</v>
      </c>
      <c r="O29" s="4">
        <v>2</v>
      </c>
      <c r="P29" s="4">
        <v>2</v>
      </c>
      <c r="Q29" s="4">
        <v>3</v>
      </c>
      <c r="R29" s="4">
        <v>3</v>
      </c>
    </row>
    <row r="30" spans="1:25" x14ac:dyDescent="0.35">
      <c r="A30" s="14" t="s">
        <v>154</v>
      </c>
      <c r="B30" s="4">
        <v>2</v>
      </c>
      <c r="C30" s="4">
        <v>2</v>
      </c>
      <c r="D30" s="4">
        <v>2</v>
      </c>
      <c r="E30" s="4">
        <v>2</v>
      </c>
      <c r="F30" s="4">
        <v>2</v>
      </c>
      <c r="G30" s="4">
        <v>2</v>
      </c>
      <c r="H30" s="4">
        <v>2</v>
      </c>
      <c r="I30" s="4">
        <v>2</v>
      </c>
      <c r="J30" s="4">
        <v>3</v>
      </c>
      <c r="K30" s="4">
        <v>2</v>
      </c>
      <c r="L30" s="4">
        <v>3</v>
      </c>
      <c r="M30" s="4">
        <v>2</v>
      </c>
      <c r="N30" s="4">
        <v>3</v>
      </c>
      <c r="O30" s="4">
        <v>2</v>
      </c>
      <c r="P30" s="4">
        <v>2</v>
      </c>
      <c r="Q30" s="4">
        <v>2</v>
      </c>
      <c r="R30" s="4">
        <v>3</v>
      </c>
    </row>
    <row r="31" spans="1:25" x14ac:dyDescent="0.35">
      <c r="A31" s="14" t="s">
        <v>157</v>
      </c>
      <c r="B31" s="4">
        <v>3</v>
      </c>
      <c r="C31" s="4">
        <v>3</v>
      </c>
      <c r="D31" s="4">
        <v>2</v>
      </c>
      <c r="E31" s="4">
        <v>3</v>
      </c>
      <c r="F31" s="4">
        <v>2</v>
      </c>
      <c r="G31" s="4">
        <v>3</v>
      </c>
      <c r="H31" s="4">
        <v>2</v>
      </c>
      <c r="I31" s="4">
        <v>3</v>
      </c>
      <c r="J31" s="4">
        <v>2</v>
      </c>
      <c r="K31" s="4">
        <v>2</v>
      </c>
      <c r="L31" s="4">
        <v>3</v>
      </c>
      <c r="M31" s="4">
        <v>2</v>
      </c>
      <c r="N31" s="4">
        <v>2</v>
      </c>
      <c r="O31" s="4">
        <v>2</v>
      </c>
      <c r="P31" s="4">
        <v>2</v>
      </c>
      <c r="Q31" s="4">
        <v>3</v>
      </c>
      <c r="R31" s="4">
        <v>2</v>
      </c>
    </row>
    <row r="32" spans="1:25" x14ac:dyDescent="0.35">
      <c r="A32" s="14" t="s">
        <v>160</v>
      </c>
      <c r="B32" s="4">
        <v>2</v>
      </c>
      <c r="C32" s="4">
        <v>2</v>
      </c>
      <c r="D32" s="4">
        <v>3</v>
      </c>
      <c r="E32" s="4">
        <v>2</v>
      </c>
      <c r="F32" s="4">
        <v>3</v>
      </c>
      <c r="G32" s="4">
        <v>3</v>
      </c>
      <c r="H32" s="4">
        <v>2</v>
      </c>
      <c r="I32" s="4">
        <v>2</v>
      </c>
      <c r="J32" s="4">
        <v>2</v>
      </c>
      <c r="K32" s="4">
        <v>2</v>
      </c>
      <c r="L32" s="4">
        <v>3</v>
      </c>
      <c r="M32" s="4">
        <v>3</v>
      </c>
      <c r="N32" s="4">
        <v>2</v>
      </c>
      <c r="O32" s="4">
        <v>3</v>
      </c>
      <c r="P32" s="4">
        <v>3</v>
      </c>
      <c r="Q32" s="4">
        <v>2</v>
      </c>
      <c r="R32" s="4">
        <v>2</v>
      </c>
    </row>
    <row r="33" spans="1:18" x14ac:dyDescent="0.35">
      <c r="A33" s="14" t="s">
        <v>163</v>
      </c>
      <c r="B33" s="4">
        <v>2</v>
      </c>
      <c r="C33" s="4">
        <v>2</v>
      </c>
      <c r="D33" s="4">
        <v>3</v>
      </c>
      <c r="E33" s="4">
        <v>2</v>
      </c>
      <c r="F33" s="4">
        <v>3</v>
      </c>
      <c r="G33" s="4">
        <v>2</v>
      </c>
      <c r="H33" s="4">
        <v>2</v>
      </c>
      <c r="I33" s="4">
        <v>2</v>
      </c>
      <c r="J33" s="4">
        <v>2</v>
      </c>
      <c r="K33" s="4">
        <v>2</v>
      </c>
      <c r="L33" s="4">
        <v>2</v>
      </c>
      <c r="M33" s="4">
        <v>3</v>
      </c>
      <c r="N33" s="4">
        <v>2</v>
      </c>
      <c r="O33" s="4">
        <v>3</v>
      </c>
      <c r="P33" s="4">
        <v>3</v>
      </c>
      <c r="Q33" s="4">
        <v>2</v>
      </c>
      <c r="R33" s="4">
        <v>2</v>
      </c>
    </row>
    <row r="34" spans="1:18" x14ac:dyDescent="0.35">
      <c r="A34" s="14" t="s">
        <v>166</v>
      </c>
      <c r="B34" s="4">
        <v>2</v>
      </c>
      <c r="C34" s="4">
        <v>2</v>
      </c>
      <c r="D34" s="4">
        <v>2</v>
      </c>
      <c r="E34" s="4">
        <v>2</v>
      </c>
      <c r="F34" s="4">
        <v>2</v>
      </c>
      <c r="G34" s="4">
        <v>2</v>
      </c>
      <c r="H34" s="4">
        <v>2</v>
      </c>
      <c r="I34" s="4">
        <v>2</v>
      </c>
      <c r="J34" s="4">
        <v>2</v>
      </c>
      <c r="K34" s="4">
        <v>2</v>
      </c>
      <c r="L34" s="4">
        <v>2</v>
      </c>
      <c r="M34" s="4">
        <v>2</v>
      </c>
      <c r="N34" s="4">
        <v>2</v>
      </c>
      <c r="O34" s="4">
        <v>2</v>
      </c>
      <c r="P34" s="4">
        <v>2</v>
      </c>
      <c r="Q34" s="4">
        <v>2</v>
      </c>
      <c r="R34" s="4">
        <v>2</v>
      </c>
    </row>
    <row r="35" spans="1:18" x14ac:dyDescent="0.35">
      <c r="A35" s="14" t="s">
        <v>169</v>
      </c>
      <c r="B35" s="4">
        <v>2</v>
      </c>
      <c r="C35" s="4">
        <v>2</v>
      </c>
      <c r="D35" s="4">
        <v>2</v>
      </c>
      <c r="E35" s="4">
        <v>2</v>
      </c>
      <c r="F35" s="4">
        <v>2</v>
      </c>
      <c r="G35" s="4">
        <v>3</v>
      </c>
      <c r="H35" s="4">
        <v>3</v>
      </c>
      <c r="I35" s="4">
        <v>2</v>
      </c>
      <c r="J35" s="4">
        <v>2</v>
      </c>
      <c r="K35" s="4">
        <v>2</v>
      </c>
      <c r="L35" s="4">
        <v>3</v>
      </c>
      <c r="M35" s="4">
        <v>2</v>
      </c>
      <c r="N35" s="4">
        <v>3</v>
      </c>
      <c r="O35" s="4">
        <v>2</v>
      </c>
      <c r="P35" s="4">
        <v>3</v>
      </c>
      <c r="Q35" s="4">
        <v>2</v>
      </c>
      <c r="R35" s="4">
        <v>2</v>
      </c>
    </row>
    <row r="36" spans="1:18" x14ac:dyDescent="0.35">
      <c r="A36" s="14" t="s">
        <v>172</v>
      </c>
      <c r="B36" s="4">
        <v>3</v>
      </c>
      <c r="C36" s="4">
        <v>3</v>
      </c>
      <c r="D36" s="4">
        <v>2</v>
      </c>
      <c r="E36" s="4">
        <v>2</v>
      </c>
      <c r="F36" s="4">
        <v>2</v>
      </c>
      <c r="G36" s="4">
        <v>2</v>
      </c>
      <c r="H36" s="4">
        <v>2</v>
      </c>
      <c r="I36" s="4">
        <v>3</v>
      </c>
      <c r="J36" s="4">
        <v>3</v>
      </c>
      <c r="K36" s="4">
        <v>2</v>
      </c>
      <c r="L36" s="4">
        <v>2</v>
      </c>
      <c r="M36" s="4">
        <v>2</v>
      </c>
      <c r="N36" s="4">
        <v>2</v>
      </c>
      <c r="O36" s="4">
        <v>2</v>
      </c>
      <c r="P36" s="4">
        <v>2</v>
      </c>
      <c r="Q36" s="4">
        <v>3</v>
      </c>
      <c r="R36" s="4">
        <v>2</v>
      </c>
    </row>
    <row r="37" spans="1:18" x14ac:dyDescent="0.35">
      <c r="A37" s="14" t="s">
        <v>175</v>
      </c>
      <c r="B37" s="4">
        <v>2</v>
      </c>
      <c r="C37" s="4">
        <v>2</v>
      </c>
      <c r="D37" s="4">
        <v>3</v>
      </c>
      <c r="E37" s="4">
        <v>3</v>
      </c>
      <c r="F37" s="4">
        <v>3</v>
      </c>
      <c r="G37" s="4">
        <v>2</v>
      </c>
      <c r="H37" s="4">
        <v>2</v>
      </c>
      <c r="I37" s="4">
        <v>2</v>
      </c>
      <c r="J37" s="4">
        <v>2</v>
      </c>
      <c r="K37" s="4">
        <v>3</v>
      </c>
      <c r="L37" s="4">
        <v>2</v>
      </c>
      <c r="M37" s="4">
        <v>3</v>
      </c>
      <c r="N37" s="4">
        <v>2</v>
      </c>
      <c r="O37" s="4">
        <v>3</v>
      </c>
      <c r="P37" s="4">
        <v>3</v>
      </c>
      <c r="Q37" s="4">
        <v>2</v>
      </c>
      <c r="R37" s="4">
        <v>3</v>
      </c>
    </row>
    <row r="38" spans="1:18" x14ac:dyDescent="0.35">
      <c r="A38" s="14" t="s">
        <v>178</v>
      </c>
      <c r="B38" s="4">
        <v>3</v>
      </c>
      <c r="C38" s="4">
        <v>2</v>
      </c>
      <c r="D38" s="4">
        <v>2</v>
      </c>
      <c r="E38" s="4">
        <v>2</v>
      </c>
      <c r="F38" s="4">
        <v>2</v>
      </c>
      <c r="G38" s="4">
        <v>3</v>
      </c>
      <c r="H38" s="4">
        <v>2</v>
      </c>
      <c r="I38" s="4">
        <v>3</v>
      </c>
      <c r="J38" s="4">
        <v>2</v>
      </c>
      <c r="K38" s="4">
        <v>2</v>
      </c>
      <c r="L38" s="4">
        <v>3</v>
      </c>
      <c r="M38" s="4">
        <v>2</v>
      </c>
      <c r="N38" s="4">
        <v>2</v>
      </c>
      <c r="O38" s="4">
        <v>2</v>
      </c>
      <c r="P38" s="4">
        <v>2</v>
      </c>
      <c r="Q38" s="4">
        <v>3</v>
      </c>
      <c r="R38" s="4">
        <v>2</v>
      </c>
    </row>
    <row r="39" spans="1:18" x14ac:dyDescent="0.35">
      <c r="A39" s="14" t="s">
        <v>181</v>
      </c>
      <c r="B39" s="4">
        <v>2</v>
      </c>
      <c r="C39" s="4">
        <v>2</v>
      </c>
      <c r="D39" s="4">
        <v>2</v>
      </c>
      <c r="E39" s="4">
        <v>2</v>
      </c>
      <c r="F39" s="4">
        <v>2</v>
      </c>
      <c r="G39" s="4">
        <v>2</v>
      </c>
      <c r="H39" s="4">
        <v>2</v>
      </c>
      <c r="I39" s="4">
        <v>2</v>
      </c>
      <c r="J39" s="4">
        <v>2</v>
      </c>
      <c r="K39" s="4">
        <v>2</v>
      </c>
      <c r="L39" s="4">
        <v>2</v>
      </c>
      <c r="M39" s="4">
        <v>2</v>
      </c>
      <c r="N39" s="4">
        <v>2</v>
      </c>
      <c r="O39" s="4">
        <v>2</v>
      </c>
      <c r="P39" s="4">
        <v>2</v>
      </c>
      <c r="Q39" s="4">
        <v>2</v>
      </c>
      <c r="R39" s="4">
        <v>2</v>
      </c>
    </row>
    <row r="41" spans="1:18" x14ac:dyDescent="0.35">
      <c r="A41" s="97" t="s">
        <v>76</v>
      </c>
      <c r="B41" s="97"/>
      <c r="C41" s="97"/>
      <c r="D41" s="97"/>
      <c r="E41" s="97"/>
      <c r="F41" s="97"/>
      <c r="G41" s="97"/>
      <c r="H41" s="97"/>
      <c r="I41" s="97"/>
      <c r="J41" s="97"/>
      <c r="K41" s="97"/>
      <c r="L41" s="97"/>
      <c r="M41" s="97"/>
      <c r="N41" s="97"/>
      <c r="O41" s="97"/>
      <c r="P41" s="97"/>
      <c r="Q41" s="97"/>
      <c r="R41" s="97"/>
    </row>
    <row r="42" spans="1:18" x14ac:dyDescent="0.35">
      <c r="A42" s="45" t="s">
        <v>106</v>
      </c>
      <c r="B42" s="37" t="s">
        <v>64</v>
      </c>
      <c r="C42" s="37" t="s">
        <v>19</v>
      </c>
      <c r="D42" s="37" t="s">
        <v>65</v>
      </c>
      <c r="E42" s="37" t="s">
        <v>20</v>
      </c>
      <c r="F42" s="37" t="s">
        <v>66</v>
      </c>
      <c r="G42" s="37" t="s">
        <v>27</v>
      </c>
      <c r="H42" s="37" t="s">
        <v>14</v>
      </c>
      <c r="I42" s="37" t="s">
        <v>67</v>
      </c>
      <c r="J42" s="37" t="s">
        <v>15</v>
      </c>
      <c r="K42" s="37" t="s">
        <v>21</v>
      </c>
      <c r="L42" s="37" t="s">
        <v>16</v>
      </c>
      <c r="M42" s="37" t="s">
        <v>17</v>
      </c>
      <c r="N42" s="37" t="s">
        <v>18</v>
      </c>
      <c r="O42" s="37" t="s">
        <v>30</v>
      </c>
      <c r="P42" s="37" t="s">
        <v>31</v>
      </c>
      <c r="Q42" s="37" t="s">
        <v>32</v>
      </c>
      <c r="R42" s="37" t="s">
        <v>33</v>
      </c>
    </row>
    <row r="43" spans="1:18" x14ac:dyDescent="0.35">
      <c r="A43" s="4" t="s">
        <v>130</v>
      </c>
      <c r="B43" s="4">
        <v>3</v>
      </c>
      <c r="C43" s="4">
        <v>2</v>
      </c>
      <c r="D43" s="4">
        <v>2</v>
      </c>
      <c r="E43" s="4">
        <v>2</v>
      </c>
      <c r="F43" s="4">
        <v>2</v>
      </c>
      <c r="G43" s="4">
        <v>3</v>
      </c>
      <c r="H43" s="4">
        <v>2</v>
      </c>
      <c r="I43" s="4">
        <v>3</v>
      </c>
      <c r="J43" s="4">
        <v>2</v>
      </c>
      <c r="K43" s="4">
        <v>3</v>
      </c>
      <c r="L43" s="4">
        <v>3</v>
      </c>
      <c r="M43" s="4">
        <v>2</v>
      </c>
      <c r="N43" s="4">
        <v>2</v>
      </c>
      <c r="O43" s="4">
        <v>2</v>
      </c>
      <c r="P43" s="4">
        <v>2</v>
      </c>
      <c r="Q43" s="4">
        <v>3</v>
      </c>
      <c r="R43" s="4">
        <v>2</v>
      </c>
    </row>
    <row r="44" spans="1:18" x14ac:dyDescent="0.35">
      <c r="A44" s="4" t="s">
        <v>134</v>
      </c>
      <c r="B44" s="4">
        <v>3</v>
      </c>
      <c r="C44" s="4">
        <v>2</v>
      </c>
      <c r="D44" s="4">
        <v>3</v>
      </c>
      <c r="E44" s="4">
        <v>2</v>
      </c>
      <c r="F44" s="4">
        <v>3</v>
      </c>
      <c r="G44" s="4">
        <v>2</v>
      </c>
      <c r="H44" s="4">
        <v>2</v>
      </c>
      <c r="I44" s="4">
        <v>3</v>
      </c>
      <c r="J44" s="4">
        <v>2</v>
      </c>
      <c r="K44" s="4">
        <v>2</v>
      </c>
      <c r="L44" s="4">
        <v>2</v>
      </c>
      <c r="M44" s="4">
        <v>3</v>
      </c>
      <c r="N44" s="4">
        <v>2</v>
      </c>
      <c r="O44" s="4">
        <v>3</v>
      </c>
      <c r="P44" s="4">
        <v>3</v>
      </c>
      <c r="Q44" s="4">
        <v>3</v>
      </c>
      <c r="R44" s="4">
        <v>2</v>
      </c>
    </row>
    <row r="45" spans="1:18" x14ac:dyDescent="0.35">
      <c r="A45" s="4" t="s">
        <v>137</v>
      </c>
      <c r="B45" s="4">
        <v>2</v>
      </c>
      <c r="C45" s="4">
        <v>2</v>
      </c>
      <c r="D45" s="4">
        <v>2</v>
      </c>
      <c r="E45" s="4">
        <v>3</v>
      </c>
      <c r="F45" s="4">
        <v>2</v>
      </c>
      <c r="G45" s="4">
        <v>2</v>
      </c>
      <c r="H45" s="4">
        <v>2</v>
      </c>
      <c r="I45" s="4">
        <v>2</v>
      </c>
      <c r="J45" s="4">
        <v>2</v>
      </c>
      <c r="K45" s="4">
        <v>3</v>
      </c>
      <c r="L45" s="4">
        <v>2</v>
      </c>
      <c r="M45" s="4">
        <v>2</v>
      </c>
      <c r="N45" s="4">
        <v>2</v>
      </c>
      <c r="O45" s="4">
        <v>2</v>
      </c>
      <c r="P45" s="4">
        <v>2</v>
      </c>
      <c r="Q45" s="4">
        <v>2</v>
      </c>
      <c r="R45" s="4">
        <v>3</v>
      </c>
    </row>
    <row r="46" spans="1:18" x14ac:dyDescent="0.35">
      <c r="A46" s="4" t="s">
        <v>140</v>
      </c>
      <c r="B46" s="4">
        <v>2</v>
      </c>
      <c r="C46" s="4">
        <v>2</v>
      </c>
      <c r="D46" s="4">
        <v>3</v>
      </c>
      <c r="E46" s="4">
        <v>2</v>
      </c>
      <c r="F46" s="4">
        <v>3</v>
      </c>
      <c r="G46" s="4">
        <v>2</v>
      </c>
      <c r="H46" s="4">
        <v>2</v>
      </c>
      <c r="I46" s="4">
        <v>2</v>
      </c>
      <c r="J46" s="4">
        <v>2</v>
      </c>
      <c r="K46" s="4">
        <v>2</v>
      </c>
      <c r="L46" s="4">
        <v>3</v>
      </c>
      <c r="M46" s="4">
        <v>3</v>
      </c>
      <c r="N46" s="4">
        <v>2</v>
      </c>
      <c r="O46" s="4">
        <v>3</v>
      </c>
      <c r="P46" s="4">
        <v>3</v>
      </c>
      <c r="Q46" s="4">
        <v>2</v>
      </c>
      <c r="R46" s="4">
        <v>2</v>
      </c>
    </row>
    <row r="47" spans="1:18" x14ac:dyDescent="0.35">
      <c r="A47" s="4" t="s">
        <v>143</v>
      </c>
      <c r="B47" s="4">
        <v>3</v>
      </c>
      <c r="C47" s="4">
        <v>2</v>
      </c>
      <c r="D47" s="4">
        <v>3</v>
      </c>
      <c r="E47" s="4">
        <v>2</v>
      </c>
      <c r="F47" s="4">
        <v>3</v>
      </c>
      <c r="G47" s="4">
        <v>2</v>
      </c>
      <c r="H47" s="4">
        <v>3</v>
      </c>
      <c r="I47" s="4">
        <v>2</v>
      </c>
      <c r="J47" s="4">
        <v>3</v>
      </c>
      <c r="K47" s="4">
        <v>2</v>
      </c>
      <c r="L47" s="4">
        <v>2</v>
      </c>
      <c r="M47" s="4">
        <v>2</v>
      </c>
      <c r="N47" s="4">
        <v>2</v>
      </c>
      <c r="O47" s="4">
        <v>2</v>
      </c>
      <c r="P47" s="4">
        <v>3</v>
      </c>
      <c r="Q47" s="4">
        <v>2</v>
      </c>
      <c r="R47" s="4">
        <v>2</v>
      </c>
    </row>
    <row r="48" spans="1:18" x14ac:dyDescent="0.35">
      <c r="A48" s="4" t="s">
        <v>146</v>
      </c>
      <c r="B48" s="4">
        <v>2</v>
      </c>
      <c r="C48" s="4">
        <v>2</v>
      </c>
      <c r="D48" s="4">
        <v>2</v>
      </c>
      <c r="E48" s="4">
        <v>2</v>
      </c>
      <c r="F48" s="4">
        <v>2</v>
      </c>
      <c r="G48" s="4">
        <v>2</v>
      </c>
      <c r="H48" s="4">
        <v>3</v>
      </c>
      <c r="I48" s="4">
        <v>2</v>
      </c>
      <c r="J48" s="4">
        <v>2</v>
      </c>
      <c r="K48" s="4">
        <v>2</v>
      </c>
      <c r="L48" s="4">
        <v>2</v>
      </c>
      <c r="M48" s="4">
        <v>3</v>
      </c>
      <c r="N48" s="4">
        <v>2</v>
      </c>
      <c r="O48" s="4">
        <v>2</v>
      </c>
      <c r="P48" s="4">
        <v>2</v>
      </c>
      <c r="Q48" s="4">
        <v>2</v>
      </c>
      <c r="R48" s="4">
        <v>2</v>
      </c>
    </row>
    <row r="49" spans="1:18" x14ac:dyDescent="0.35">
      <c r="A49" s="4" t="s">
        <v>149</v>
      </c>
      <c r="B49" s="4">
        <v>2</v>
      </c>
      <c r="C49" s="4">
        <v>3</v>
      </c>
      <c r="D49" s="4">
        <v>3</v>
      </c>
      <c r="E49" s="4">
        <v>2</v>
      </c>
      <c r="F49" s="4">
        <v>3</v>
      </c>
      <c r="G49" s="4">
        <v>2</v>
      </c>
      <c r="H49" s="4">
        <v>2</v>
      </c>
      <c r="I49" s="4">
        <v>2</v>
      </c>
      <c r="J49" s="4">
        <v>3</v>
      </c>
      <c r="K49" s="4">
        <v>2</v>
      </c>
      <c r="L49" s="4">
        <v>2</v>
      </c>
      <c r="M49" s="4">
        <v>3</v>
      </c>
      <c r="N49" s="4">
        <v>2</v>
      </c>
      <c r="O49" s="4">
        <v>3</v>
      </c>
      <c r="P49" s="4">
        <v>3</v>
      </c>
      <c r="Q49" s="4">
        <v>2</v>
      </c>
      <c r="R49" s="4">
        <v>2</v>
      </c>
    </row>
    <row r="52" spans="1:18" x14ac:dyDescent="0.35">
      <c r="A52" s="45" t="s">
        <v>106</v>
      </c>
      <c r="B52" s="45" t="s">
        <v>49</v>
      </c>
      <c r="C52" s="45" t="s">
        <v>53</v>
      </c>
      <c r="D52" s="45" t="s">
        <v>58</v>
      </c>
      <c r="E52" s="45" t="s">
        <v>59</v>
      </c>
      <c r="F52" s="45" t="s">
        <v>88</v>
      </c>
      <c r="G52" s="45" t="s">
        <v>184</v>
      </c>
      <c r="H52" s="45" t="s">
        <v>185</v>
      </c>
      <c r="I52" s="42" t="s">
        <v>86</v>
      </c>
      <c r="J52" s="42" t="s">
        <v>87</v>
      </c>
      <c r="K52" s="42" t="s">
        <v>104</v>
      </c>
      <c r="L52" s="42" t="s">
        <v>191</v>
      </c>
      <c r="N52" s="42" t="s">
        <v>186</v>
      </c>
      <c r="O52" s="42" t="s">
        <v>187</v>
      </c>
      <c r="P52" s="42" t="s">
        <v>188</v>
      </c>
    </row>
    <row r="53" spans="1:18" x14ac:dyDescent="0.35">
      <c r="A53" s="14" t="s">
        <v>130</v>
      </c>
      <c r="B53" s="4">
        <f>SQRT(SUMXMY2(B22:R22, $B$43:$R$43))</f>
        <v>0</v>
      </c>
      <c r="C53" s="4">
        <f>SQRT(SUMXMY2(B22:R22, $B$44:$R$44))</f>
        <v>2.8284271247461903</v>
      </c>
      <c r="D53" s="4">
        <f>SQRT(SUMXMY2(B22:R22, $B$45:$R$45))</f>
        <v>2.6457513110645907</v>
      </c>
      <c r="E53" s="4">
        <f>SQRT(SUMXMY2(B22:R22, $B$46:$R$46))</f>
        <v>3.1622776601683795</v>
      </c>
      <c r="F53" s="4">
        <f>SQRT(SUMXMY2(B22:R22, $B$47:$R$47))</f>
        <v>3.1622776601683795</v>
      </c>
      <c r="G53" s="4">
        <f>SQRT(SUMXMY2(B22:R22, $B$48:$R$48))</f>
        <v>2.8284271247461903</v>
      </c>
      <c r="H53" s="4">
        <f>SQRT(SUMXMY2(B22:R22, $B$49:$R$49))</f>
        <v>3.6055512754639891</v>
      </c>
      <c r="I53" s="4">
        <f>MIN(B53:H53)</f>
        <v>0</v>
      </c>
      <c r="J53" s="4" t="str">
        <f t="shared" ref="J53:J59" si="0">"C"&amp;MATCH(I53,B53:H53,0)</f>
        <v>C1</v>
      </c>
      <c r="K53" s="14">
        <f>I53^2</f>
        <v>0</v>
      </c>
      <c r="L53" s="14">
        <f>SUM(K53:K70)</f>
        <v>32</v>
      </c>
      <c r="N53" s="103" t="s">
        <v>49</v>
      </c>
      <c r="O53" s="103">
        <v>4</v>
      </c>
      <c r="P53" s="4" t="s">
        <v>130</v>
      </c>
    </row>
    <row r="54" spans="1:18" x14ac:dyDescent="0.35">
      <c r="A54" s="14" t="s">
        <v>134</v>
      </c>
      <c r="B54" s="4">
        <f>SQRT(SUMXMY2(B23:R23, $B$43:$R$43))</f>
        <v>2.8284271247461903</v>
      </c>
      <c r="C54" s="4">
        <f t="shared" ref="C54:C70" si="1">SQRT(SUMXMY2(B23:R23, $B$44:$R$44))</f>
        <v>0</v>
      </c>
      <c r="D54" s="4">
        <f t="shared" ref="D54:D70" si="2">SQRT(SUMXMY2(B23:R23, $B$45:$R$45))</f>
        <v>3.3166247903553998</v>
      </c>
      <c r="E54" s="4">
        <f t="shared" ref="E54:E70" si="3">SQRT(SUMXMY2(B23:R23, $B$46:$R$46))</f>
        <v>2</v>
      </c>
      <c r="F54" s="4">
        <f t="shared" ref="F54:F70" si="4">SQRT(SUMXMY2(B23:R23, $B$47:$R$47))</f>
        <v>2.4494897427831779</v>
      </c>
      <c r="G54" s="4">
        <f t="shared" ref="G54:G70" si="5">SQRT(SUMXMY2(B23:R23, $B$48:$R$48))</f>
        <v>2.8284271247461903</v>
      </c>
      <c r="H54" s="4">
        <f t="shared" ref="H54:H70" si="6">SQRT(SUMXMY2(B23:R23, $B$49:$R$49))</f>
        <v>2.2360679774997898</v>
      </c>
      <c r="I54" s="4">
        <f t="shared" ref="I54:I70" si="7">MIN(B54:H54)</f>
        <v>0</v>
      </c>
      <c r="J54" s="4" t="str">
        <f t="shared" si="0"/>
        <v>C2</v>
      </c>
      <c r="K54" s="14">
        <f t="shared" ref="K54:K70" si="8">I54^2</f>
        <v>0</v>
      </c>
      <c r="N54" s="104"/>
      <c r="O54" s="104"/>
      <c r="P54" s="4" t="s">
        <v>157</v>
      </c>
    </row>
    <row r="55" spans="1:18" x14ac:dyDescent="0.35">
      <c r="A55" s="14" t="s">
        <v>137</v>
      </c>
      <c r="B55" s="4">
        <f t="shared" ref="B55:B70" si="9">SQRT(SUMXMY2(B24:R24, $B$43:$R$43))</f>
        <v>2.6457513110645907</v>
      </c>
      <c r="C55" s="4">
        <f t="shared" si="1"/>
        <v>3.3166247903553998</v>
      </c>
      <c r="D55" s="4">
        <f t="shared" si="2"/>
        <v>0</v>
      </c>
      <c r="E55" s="4">
        <f t="shared" si="3"/>
        <v>3</v>
      </c>
      <c r="F55" s="4">
        <f t="shared" si="4"/>
        <v>3</v>
      </c>
      <c r="G55" s="4">
        <f t="shared" si="5"/>
        <v>2.2360679774997898</v>
      </c>
      <c r="H55" s="4">
        <f t="shared" si="6"/>
        <v>3.1622776601683795</v>
      </c>
      <c r="I55" s="4">
        <f t="shared" si="7"/>
        <v>0</v>
      </c>
      <c r="J55" s="4" t="str">
        <f t="shared" si="0"/>
        <v>C3</v>
      </c>
      <c r="K55" s="14">
        <f t="shared" si="8"/>
        <v>0</v>
      </c>
      <c r="N55" s="104"/>
      <c r="O55" s="104"/>
      <c r="P55" s="4" t="s">
        <v>172</v>
      </c>
    </row>
    <row r="56" spans="1:18" x14ac:dyDescent="0.35">
      <c r="A56" s="14" t="s">
        <v>140</v>
      </c>
      <c r="B56" s="4">
        <f t="shared" si="9"/>
        <v>3.1622776601683795</v>
      </c>
      <c r="C56" s="4">
        <f t="shared" si="1"/>
        <v>2</v>
      </c>
      <c r="D56" s="4">
        <f t="shared" si="2"/>
        <v>3</v>
      </c>
      <c r="E56" s="4">
        <f t="shared" si="3"/>
        <v>0</v>
      </c>
      <c r="F56" s="4">
        <f t="shared" si="4"/>
        <v>2.4494897427831779</v>
      </c>
      <c r="G56" s="4">
        <f t="shared" si="5"/>
        <v>2.4494897427831779</v>
      </c>
      <c r="H56" s="4">
        <f t="shared" si="6"/>
        <v>1.7320508075688772</v>
      </c>
      <c r="I56" s="4">
        <f t="shared" si="7"/>
        <v>0</v>
      </c>
      <c r="J56" s="4" t="str">
        <f t="shared" si="0"/>
        <v>C4</v>
      </c>
      <c r="K56" s="14">
        <f t="shared" si="8"/>
        <v>0</v>
      </c>
      <c r="N56" s="105"/>
      <c r="O56" s="105"/>
      <c r="P56" s="4" t="s">
        <v>178</v>
      </c>
    </row>
    <row r="57" spans="1:18" x14ac:dyDescent="0.35">
      <c r="A57" s="14" t="s">
        <v>143</v>
      </c>
      <c r="B57" s="4">
        <f t="shared" si="9"/>
        <v>3.1622776601683795</v>
      </c>
      <c r="C57" s="4">
        <f t="shared" si="1"/>
        <v>2.4494897427831779</v>
      </c>
      <c r="D57" s="4">
        <f t="shared" si="2"/>
        <v>3</v>
      </c>
      <c r="E57" s="4">
        <f t="shared" si="3"/>
        <v>2.4494897427831779</v>
      </c>
      <c r="F57" s="4">
        <f t="shared" si="4"/>
        <v>0</v>
      </c>
      <c r="G57" s="4">
        <f t="shared" si="5"/>
        <v>2.4494897427831779</v>
      </c>
      <c r="H57" s="4">
        <f t="shared" si="6"/>
        <v>2.2360679774997898</v>
      </c>
      <c r="I57" s="4">
        <f t="shared" si="7"/>
        <v>0</v>
      </c>
      <c r="J57" s="4" t="str">
        <f t="shared" si="0"/>
        <v>C5</v>
      </c>
      <c r="K57" s="14">
        <f t="shared" si="8"/>
        <v>0</v>
      </c>
      <c r="N57" s="4" t="s">
        <v>53</v>
      </c>
      <c r="O57" s="4">
        <v>1</v>
      </c>
      <c r="P57" s="4" t="s">
        <v>134</v>
      </c>
    </row>
    <row r="58" spans="1:18" x14ac:dyDescent="0.35">
      <c r="A58" s="14" t="s">
        <v>146</v>
      </c>
      <c r="B58" s="4">
        <f t="shared" si="9"/>
        <v>2.8284271247461903</v>
      </c>
      <c r="C58" s="4">
        <f t="shared" si="1"/>
        <v>2.8284271247461903</v>
      </c>
      <c r="D58" s="4">
        <f t="shared" si="2"/>
        <v>2.2360679774997898</v>
      </c>
      <c r="E58" s="4">
        <f t="shared" si="3"/>
        <v>2.4494897427831779</v>
      </c>
      <c r="F58" s="4">
        <f t="shared" si="4"/>
        <v>2.4494897427831779</v>
      </c>
      <c r="G58" s="4">
        <f t="shared" si="5"/>
        <v>0</v>
      </c>
      <c r="H58" s="4">
        <f t="shared" si="6"/>
        <v>2.6457513110645907</v>
      </c>
      <c r="I58" s="4">
        <f t="shared" si="7"/>
        <v>0</v>
      </c>
      <c r="J58" s="4" t="str">
        <f t="shared" si="0"/>
        <v>C6</v>
      </c>
      <c r="K58" s="14">
        <f t="shared" si="8"/>
        <v>0</v>
      </c>
      <c r="N58" s="103" t="s">
        <v>58</v>
      </c>
      <c r="O58" s="103">
        <v>3</v>
      </c>
      <c r="P58" s="4" t="s">
        <v>189</v>
      </c>
    </row>
    <row r="59" spans="1:18" x14ac:dyDescent="0.35">
      <c r="A59" s="14" t="s">
        <v>149</v>
      </c>
      <c r="B59" s="4">
        <f t="shared" si="9"/>
        <v>3.6055512754639891</v>
      </c>
      <c r="C59" s="4">
        <f t="shared" si="1"/>
        <v>2.2360679774997898</v>
      </c>
      <c r="D59" s="4">
        <f t="shared" si="2"/>
        <v>3.1622776601683795</v>
      </c>
      <c r="E59" s="4">
        <f t="shared" si="3"/>
        <v>1.7320508075688772</v>
      </c>
      <c r="F59" s="4">
        <f t="shared" si="4"/>
        <v>2.2360679774997898</v>
      </c>
      <c r="G59" s="4">
        <f t="shared" si="5"/>
        <v>2.6457513110645907</v>
      </c>
      <c r="H59" s="4">
        <f t="shared" si="6"/>
        <v>0</v>
      </c>
      <c r="I59" s="4">
        <f t="shared" si="7"/>
        <v>0</v>
      </c>
      <c r="J59" s="4" t="str">
        <f t="shared" si="0"/>
        <v>C7</v>
      </c>
      <c r="K59" s="14">
        <f t="shared" si="8"/>
        <v>0</v>
      </c>
      <c r="N59" s="104"/>
      <c r="O59" s="104"/>
      <c r="P59" s="4" t="s">
        <v>151</v>
      </c>
    </row>
    <row r="60" spans="1:18" x14ac:dyDescent="0.35">
      <c r="A60" s="14" t="s">
        <v>151</v>
      </c>
      <c r="B60" s="4">
        <f t="shared" si="9"/>
        <v>2</v>
      </c>
      <c r="C60" s="4">
        <f t="shared" si="1"/>
        <v>2.8284271247461903</v>
      </c>
      <c r="D60" s="4">
        <f t="shared" si="2"/>
        <v>1.7320508075688772</v>
      </c>
      <c r="E60" s="4">
        <f t="shared" si="3"/>
        <v>3.4641016151377544</v>
      </c>
      <c r="F60" s="4">
        <f t="shared" si="4"/>
        <v>3.1622776601683795</v>
      </c>
      <c r="G60" s="4">
        <f t="shared" si="5"/>
        <v>2.8284271247461903</v>
      </c>
      <c r="H60" s="4">
        <f t="shared" si="6"/>
        <v>3.6055512754639891</v>
      </c>
      <c r="I60" s="4">
        <f t="shared" si="7"/>
        <v>1.7320508075688772</v>
      </c>
      <c r="J60" s="4" t="str">
        <f t="shared" ref="J60:J70" si="10">"C"&amp;MATCH(I60,B60:H60,0)</f>
        <v>C3</v>
      </c>
      <c r="K60" s="14">
        <f t="shared" si="8"/>
        <v>2.9999999999999996</v>
      </c>
      <c r="N60" s="105"/>
      <c r="O60" s="105"/>
      <c r="P60" s="4" t="s">
        <v>154</v>
      </c>
    </row>
    <row r="61" spans="1:18" x14ac:dyDescent="0.35">
      <c r="A61" s="14" t="s">
        <v>154</v>
      </c>
      <c r="B61" s="4">
        <f t="shared" si="9"/>
        <v>2.8284271247461903</v>
      </c>
      <c r="C61" s="4">
        <f t="shared" si="1"/>
        <v>3.4641016151377544</v>
      </c>
      <c r="D61" s="4">
        <f t="shared" si="2"/>
        <v>2.2360679774997898</v>
      </c>
      <c r="E61" s="4">
        <f t="shared" si="3"/>
        <v>2.8284271247461903</v>
      </c>
      <c r="F61" s="4">
        <f t="shared" si="4"/>
        <v>2.8284271247461903</v>
      </c>
      <c r="G61" s="4">
        <f t="shared" si="5"/>
        <v>2.4494897427831779</v>
      </c>
      <c r="H61" s="4">
        <f t="shared" si="6"/>
        <v>3</v>
      </c>
      <c r="I61" s="4">
        <f t="shared" si="7"/>
        <v>2.2360679774997898</v>
      </c>
      <c r="J61" s="4" t="str">
        <f t="shared" si="10"/>
        <v>C3</v>
      </c>
      <c r="K61" s="14">
        <f t="shared" si="8"/>
        <v>5.0000000000000009</v>
      </c>
      <c r="N61" s="103" t="s">
        <v>59</v>
      </c>
      <c r="O61" s="103">
        <v>4</v>
      </c>
      <c r="P61" s="4" t="s">
        <v>140</v>
      </c>
    </row>
    <row r="62" spans="1:18" x14ac:dyDescent="0.35">
      <c r="A62" s="14" t="s">
        <v>157</v>
      </c>
      <c r="B62" s="4">
        <f t="shared" si="9"/>
        <v>1.7320508075688772</v>
      </c>
      <c r="C62" s="4">
        <f t="shared" si="1"/>
        <v>3</v>
      </c>
      <c r="D62" s="4">
        <f t="shared" si="2"/>
        <v>2.8284271247461903</v>
      </c>
      <c r="E62" s="4">
        <f t="shared" si="3"/>
        <v>3.3166247903553998</v>
      </c>
      <c r="F62" s="4">
        <f t="shared" si="4"/>
        <v>3.3166247903553998</v>
      </c>
      <c r="G62" s="4">
        <f t="shared" si="5"/>
        <v>3</v>
      </c>
      <c r="H62" s="4">
        <f t="shared" si="6"/>
        <v>3.4641016151377544</v>
      </c>
      <c r="I62" s="4">
        <f t="shared" si="7"/>
        <v>1.7320508075688772</v>
      </c>
      <c r="J62" s="4" t="str">
        <f t="shared" si="10"/>
        <v>C1</v>
      </c>
      <c r="K62" s="14">
        <f t="shared" si="8"/>
        <v>2.9999999999999996</v>
      </c>
      <c r="N62" s="104"/>
      <c r="O62" s="104"/>
      <c r="P62" s="4" t="s">
        <v>160</v>
      </c>
    </row>
    <row r="63" spans="1:18" x14ac:dyDescent="0.35">
      <c r="A63" s="14" t="s">
        <v>160</v>
      </c>
      <c r="B63" s="4">
        <f t="shared" si="9"/>
        <v>3</v>
      </c>
      <c r="C63" s="4">
        <f t="shared" si="1"/>
        <v>2.2360679774997898</v>
      </c>
      <c r="D63" s="4">
        <f t="shared" si="2"/>
        <v>3.1622776601683795</v>
      </c>
      <c r="E63" s="4">
        <f t="shared" si="3"/>
        <v>1</v>
      </c>
      <c r="F63" s="4">
        <f t="shared" si="4"/>
        <v>2.6457513110645907</v>
      </c>
      <c r="G63" s="4">
        <f t="shared" si="5"/>
        <v>2.6457513110645907</v>
      </c>
      <c r="H63" s="4">
        <f t="shared" si="6"/>
        <v>2</v>
      </c>
      <c r="I63" s="4">
        <f t="shared" si="7"/>
        <v>1</v>
      </c>
      <c r="J63" s="4" t="str">
        <f t="shared" si="10"/>
        <v>C4</v>
      </c>
      <c r="K63" s="14">
        <f t="shared" si="8"/>
        <v>1</v>
      </c>
      <c r="N63" s="104"/>
      <c r="O63" s="104"/>
      <c r="P63" s="4" t="s">
        <v>163</v>
      </c>
    </row>
    <row r="64" spans="1:18" x14ac:dyDescent="0.35">
      <c r="A64" s="14" t="s">
        <v>163</v>
      </c>
      <c r="B64" s="4">
        <f t="shared" si="9"/>
        <v>3.3166247903553998</v>
      </c>
      <c r="C64" s="4">
        <f t="shared" si="1"/>
        <v>1.7320508075688772</v>
      </c>
      <c r="D64" s="4">
        <f t="shared" si="2"/>
        <v>2.8284271247461903</v>
      </c>
      <c r="E64" s="4">
        <f t="shared" si="3"/>
        <v>1</v>
      </c>
      <c r="F64" s="4">
        <f t="shared" si="4"/>
        <v>2.2360679774997898</v>
      </c>
      <c r="G64" s="4">
        <f t="shared" si="5"/>
        <v>2.2360679774997898</v>
      </c>
      <c r="H64" s="4">
        <f t="shared" si="6"/>
        <v>1.4142135623730951</v>
      </c>
      <c r="I64" s="4">
        <f t="shared" si="7"/>
        <v>1</v>
      </c>
      <c r="J64" s="4" t="str">
        <f t="shared" si="10"/>
        <v>C4</v>
      </c>
      <c r="K64" s="14">
        <f t="shared" si="8"/>
        <v>1</v>
      </c>
      <c r="N64" s="105"/>
      <c r="O64" s="105"/>
      <c r="P64" s="4" t="s">
        <v>175</v>
      </c>
    </row>
    <row r="65" spans="1:18" x14ac:dyDescent="0.35">
      <c r="A65" s="14" t="s">
        <v>166</v>
      </c>
      <c r="B65" s="4">
        <f t="shared" si="9"/>
        <v>2.4494897427831779</v>
      </c>
      <c r="C65" s="4">
        <f t="shared" si="1"/>
        <v>2.8284271247461903</v>
      </c>
      <c r="D65" s="4">
        <f t="shared" si="2"/>
        <v>1.7320508075688772</v>
      </c>
      <c r="E65" s="4">
        <f t="shared" si="3"/>
        <v>2.4494897427831779</v>
      </c>
      <c r="F65" s="4">
        <f t="shared" si="4"/>
        <v>2.4494897427831779</v>
      </c>
      <c r="G65" s="4">
        <f t="shared" si="5"/>
        <v>1.4142135623730951</v>
      </c>
      <c r="H65" s="4">
        <f t="shared" si="6"/>
        <v>2.6457513110645907</v>
      </c>
      <c r="I65" s="4">
        <f t="shared" si="7"/>
        <v>1.4142135623730951</v>
      </c>
      <c r="J65" s="4" t="str">
        <f t="shared" si="10"/>
        <v>C6</v>
      </c>
      <c r="K65" s="14">
        <f t="shared" si="8"/>
        <v>2.0000000000000004</v>
      </c>
      <c r="N65" s="4" t="s">
        <v>88</v>
      </c>
      <c r="O65" s="4">
        <v>1</v>
      </c>
      <c r="P65" s="4" t="s">
        <v>190</v>
      </c>
    </row>
    <row r="66" spans="1:18" x14ac:dyDescent="0.35">
      <c r="A66" s="14" t="s">
        <v>169</v>
      </c>
      <c r="B66" s="4">
        <f t="shared" si="9"/>
        <v>2.6457513110645907</v>
      </c>
      <c r="C66" s="4">
        <f t="shared" si="1"/>
        <v>3.3166247903553998</v>
      </c>
      <c r="D66" s="4">
        <f t="shared" si="2"/>
        <v>2.8284271247461903</v>
      </c>
      <c r="E66" s="4">
        <f t="shared" si="3"/>
        <v>2.6457513110645907</v>
      </c>
      <c r="F66" s="4">
        <f t="shared" si="4"/>
        <v>2.6457513110645907</v>
      </c>
      <c r="G66" s="4">
        <f t="shared" si="5"/>
        <v>2.2360679774997898</v>
      </c>
      <c r="H66" s="4">
        <f t="shared" si="6"/>
        <v>3.1622776601683795</v>
      </c>
      <c r="I66" s="4">
        <f t="shared" si="7"/>
        <v>2.2360679774997898</v>
      </c>
      <c r="J66" s="4" t="str">
        <f t="shared" si="10"/>
        <v>C6</v>
      </c>
      <c r="K66" s="14">
        <f t="shared" si="8"/>
        <v>5.0000000000000009</v>
      </c>
      <c r="N66" s="103" t="s">
        <v>184</v>
      </c>
      <c r="O66" s="103">
        <v>4</v>
      </c>
      <c r="P66" s="4" t="s">
        <v>146</v>
      </c>
    </row>
    <row r="67" spans="1:18" x14ac:dyDescent="0.35">
      <c r="A67" s="14" t="s">
        <v>172</v>
      </c>
      <c r="B67" s="4">
        <f t="shared" si="9"/>
        <v>2.2360679774997898</v>
      </c>
      <c r="C67" s="4">
        <f t="shared" si="1"/>
        <v>2.6457513110645907</v>
      </c>
      <c r="D67" s="4">
        <f t="shared" si="2"/>
        <v>2.8284271247461903</v>
      </c>
      <c r="E67" s="4">
        <f t="shared" si="3"/>
        <v>3.3166247903553998</v>
      </c>
      <c r="F67" s="4">
        <f t="shared" si="4"/>
        <v>2.6457513110645907</v>
      </c>
      <c r="G67" s="4">
        <f t="shared" si="5"/>
        <v>2.6457513110645907</v>
      </c>
      <c r="H67" s="4">
        <f t="shared" si="6"/>
        <v>2.8284271247461903</v>
      </c>
      <c r="I67" s="4">
        <f t="shared" si="7"/>
        <v>2.2360679774997898</v>
      </c>
      <c r="J67" s="4" t="str">
        <f t="shared" si="10"/>
        <v>C1</v>
      </c>
      <c r="K67" s="14">
        <f t="shared" si="8"/>
        <v>5.0000000000000009</v>
      </c>
      <c r="N67" s="104"/>
      <c r="O67" s="104"/>
      <c r="P67" s="4" t="s">
        <v>166</v>
      </c>
    </row>
    <row r="68" spans="1:18" x14ac:dyDescent="0.35">
      <c r="A68" s="14" t="s">
        <v>175</v>
      </c>
      <c r="B68" s="4">
        <f t="shared" si="9"/>
        <v>3.4641016151377544</v>
      </c>
      <c r="C68" s="4">
        <f t="shared" si="1"/>
        <v>2.4494897427831779</v>
      </c>
      <c r="D68" s="4">
        <f t="shared" si="2"/>
        <v>2.2360679774997898</v>
      </c>
      <c r="E68" s="4">
        <f t="shared" si="3"/>
        <v>2</v>
      </c>
      <c r="F68" s="4">
        <f t="shared" si="4"/>
        <v>2.8284271247461903</v>
      </c>
      <c r="G68" s="4">
        <f t="shared" si="5"/>
        <v>2.8284271247461903</v>
      </c>
      <c r="H68" s="4">
        <f t="shared" si="6"/>
        <v>2.2360679774997898</v>
      </c>
      <c r="I68" s="4">
        <f t="shared" si="7"/>
        <v>2</v>
      </c>
      <c r="J68" s="4" t="str">
        <f t="shared" si="10"/>
        <v>C4</v>
      </c>
      <c r="K68" s="14">
        <f t="shared" si="8"/>
        <v>4</v>
      </c>
      <c r="N68" s="104"/>
      <c r="O68" s="104"/>
      <c r="P68" s="4" t="s">
        <v>169</v>
      </c>
    </row>
    <row r="69" spans="1:18" x14ac:dyDescent="0.35">
      <c r="A69" s="14" t="s">
        <v>178</v>
      </c>
      <c r="B69" s="4">
        <f t="shared" si="9"/>
        <v>1</v>
      </c>
      <c r="C69" s="4">
        <f t="shared" si="1"/>
        <v>2.6457513110645907</v>
      </c>
      <c r="D69" s="4">
        <f t="shared" si="2"/>
        <v>2.8284271247461903</v>
      </c>
      <c r="E69" s="4">
        <f t="shared" si="3"/>
        <v>3</v>
      </c>
      <c r="F69" s="4">
        <f t="shared" si="4"/>
        <v>3</v>
      </c>
      <c r="G69" s="4">
        <f t="shared" si="5"/>
        <v>2.6457513110645907</v>
      </c>
      <c r="H69" s="4">
        <f t="shared" si="6"/>
        <v>3.4641016151377544</v>
      </c>
      <c r="I69" s="4">
        <f t="shared" si="7"/>
        <v>1</v>
      </c>
      <c r="J69" s="4" t="str">
        <f t="shared" si="10"/>
        <v>C1</v>
      </c>
      <c r="K69" s="14">
        <f t="shared" si="8"/>
        <v>1</v>
      </c>
      <c r="N69" s="105"/>
      <c r="O69" s="105"/>
      <c r="P69" s="4" t="s">
        <v>181</v>
      </c>
    </row>
    <row r="70" spans="1:18" x14ac:dyDescent="0.35">
      <c r="A70" s="14" t="s">
        <v>181</v>
      </c>
      <c r="B70" s="4">
        <f t="shared" si="9"/>
        <v>2.4494897427831779</v>
      </c>
      <c r="C70" s="4">
        <f t="shared" si="1"/>
        <v>2.8284271247461903</v>
      </c>
      <c r="D70" s="4">
        <f t="shared" si="2"/>
        <v>1.7320508075688772</v>
      </c>
      <c r="E70" s="4">
        <f t="shared" si="3"/>
        <v>2.4494897427831779</v>
      </c>
      <c r="F70" s="4">
        <f t="shared" si="4"/>
        <v>2.4494897427831779</v>
      </c>
      <c r="G70" s="4">
        <f t="shared" si="5"/>
        <v>1.4142135623730951</v>
      </c>
      <c r="H70" s="4">
        <f t="shared" si="6"/>
        <v>2.6457513110645907</v>
      </c>
      <c r="I70" s="4">
        <f t="shared" si="7"/>
        <v>1.4142135623730951</v>
      </c>
      <c r="J70" s="4" t="str">
        <f t="shared" si="10"/>
        <v>C6</v>
      </c>
      <c r="K70" s="14">
        <f t="shared" si="8"/>
        <v>2.0000000000000004</v>
      </c>
      <c r="N70" s="41" t="s">
        <v>185</v>
      </c>
      <c r="O70" s="41">
        <v>1</v>
      </c>
      <c r="P70" s="41" t="s">
        <v>149</v>
      </c>
    </row>
    <row r="74" spans="1:18" ht="15" thickBot="1" x14ac:dyDescent="0.4">
      <c r="A74" s="97" t="s">
        <v>94</v>
      </c>
      <c r="B74" s="97"/>
      <c r="C74" s="97"/>
      <c r="D74" s="97"/>
      <c r="E74" s="97"/>
      <c r="F74" s="97"/>
      <c r="G74" s="97"/>
      <c r="H74" s="97"/>
      <c r="I74" s="97"/>
      <c r="J74" s="97"/>
      <c r="K74" s="97"/>
      <c r="L74" s="97"/>
      <c r="M74" s="97"/>
      <c r="N74" s="97"/>
      <c r="O74" s="97"/>
      <c r="P74" s="97"/>
      <c r="Q74" s="97"/>
      <c r="R74" s="97"/>
    </row>
    <row r="75" spans="1:18" ht="16" thickBot="1" x14ac:dyDescent="0.4">
      <c r="A75" s="46" t="s">
        <v>47</v>
      </c>
      <c r="B75" s="47" t="s">
        <v>192</v>
      </c>
      <c r="C75" s="48" t="s">
        <v>193</v>
      </c>
      <c r="D75" s="48" t="s">
        <v>194</v>
      </c>
      <c r="E75" s="48" t="s">
        <v>195</v>
      </c>
      <c r="F75" s="48" t="s">
        <v>196</v>
      </c>
      <c r="G75" s="48" t="s">
        <v>197</v>
      </c>
      <c r="H75" s="48" t="s">
        <v>198</v>
      </c>
      <c r="I75" s="48" t="s">
        <v>199</v>
      </c>
      <c r="J75" s="48" t="s">
        <v>200</v>
      </c>
      <c r="K75" s="48" t="s">
        <v>201</v>
      </c>
      <c r="L75" s="48" t="s">
        <v>202</v>
      </c>
      <c r="M75" s="48" t="s">
        <v>203</v>
      </c>
      <c r="N75" s="48" t="s">
        <v>204</v>
      </c>
      <c r="O75" s="48" t="s">
        <v>205</v>
      </c>
      <c r="P75" s="48" t="s">
        <v>206</v>
      </c>
      <c r="Q75" s="48" t="s">
        <v>207</v>
      </c>
      <c r="R75" s="48" t="s">
        <v>208</v>
      </c>
    </row>
    <row r="76" spans="1:18" x14ac:dyDescent="0.35">
      <c r="A76" s="4" t="s">
        <v>49</v>
      </c>
      <c r="B76" s="4">
        <f>AVERAGEIFS(B$22:B$39,$J$53:$J$70, "C1")</f>
        <v>3</v>
      </c>
      <c r="C76" s="4">
        <f>AVERAGEIFS(C$22:C$39,$J$53:$J$70, "C1")</f>
        <v>2.5</v>
      </c>
      <c r="D76" s="4">
        <f t="shared" ref="D76:R76" si="11">AVERAGEIFS(D$22:D$39,$J$53:$J$70, "C1")</f>
        <v>2</v>
      </c>
      <c r="E76" s="4">
        <f t="shared" si="11"/>
        <v>2.25</v>
      </c>
      <c r="F76" s="4">
        <f t="shared" si="11"/>
        <v>2</v>
      </c>
      <c r="G76" s="4">
        <f t="shared" si="11"/>
        <v>2.75</v>
      </c>
      <c r="H76" s="4">
        <f t="shared" si="11"/>
        <v>2</v>
      </c>
      <c r="I76" s="4">
        <f t="shared" si="11"/>
        <v>3</v>
      </c>
      <c r="J76" s="4">
        <f t="shared" si="11"/>
        <v>2.25</v>
      </c>
      <c r="K76" s="4">
        <f t="shared" si="11"/>
        <v>2.25</v>
      </c>
      <c r="L76" s="4">
        <f t="shared" si="11"/>
        <v>2.75</v>
      </c>
      <c r="M76" s="4">
        <f t="shared" si="11"/>
        <v>2</v>
      </c>
      <c r="N76" s="4">
        <f t="shared" si="11"/>
        <v>2</v>
      </c>
      <c r="O76" s="4">
        <f t="shared" si="11"/>
        <v>2</v>
      </c>
      <c r="P76" s="4">
        <f t="shared" si="11"/>
        <v>2</v>
      </c>
      <c r="Q76" s="4">
        <f t="shared" si="11"/>
        <v>3</v>
      </c>
      <c r="R76" s="4">
        <f t="shared" si="11"/>
        <v>2</v>
      </c>
    </row>
    <row r="77" spans="1:18" x14ac:dyDescent="0.35">
      <c r="A77" s="4" t="s">
        <v>53</v>
      </c>
      <c r="B77" s="4">
        <f>AVERAGEIFS(B$22:B$39,$J$53:$J$70, "C2")</f>
        <v>3</v>
      </c>
      <c r="C77" s="4">
        <f t="shared" ref="C77:R77" si="12">AVERAGEIFS(C$22:C$39,$J$53:$J$70, "C2")</f>
        <v>2</v>
      </c>
      <c r="D77" s="4">
        <f t="shared" si="12"/>
        <v>3</v>
      </c>
      <c r="E77" s="4">
        <f t="shared" si="12"/>
        <v>2</v>
      </c>
      <c r="F77" s="4">
        <f t="shared" si="12"/>
        <v>3</v>
      </c>
      <c r="G77" s="4">
        <f t="shared" si="12"/>
        <v>2</v>
      </c>
      <c r="H77" s="4">
        <f t="shared" si="12"/>
        <v>2</v>
      </c>
      <c r="I77" s="4">
        <f t="shared" si="12"/>
        <v>3</v>
      </c>
      <c r="J77" s="4">
        <f t="shared" si="12"/>
        <v>2</v>
      </c>
      <c r="K77" s="4">
        <f t="shared" si="12"/>
        <v>2</v>
      </c>
      <c r="L77" s="4">
        <f t="shared" si="12"/>
        <v>2</v>
      </c>
      <c r="M77" s="4">
        <f t="shared" si="12"/>
        <v>3</v>
      </c>
      <c r="N77" s="4">
        <f t="shared" si="12"/>
        <v>2</v>
      </c>
      <c r="O77" s="4">
        <f t="shared" si="12"/>
        <v>3</v>
      </c>
      <c r="P77" s="4">
        <f t="shared" si="12"/>
        <v>3</v>
      </c>
      <c r="Q77" s="4">
        <f t="shared" si="12"/>
        <v>3</v>
      </c>
      <c r="R77" s="4">
        <f t="shared" si="12"/>
        <v>2</v>
      </c>
    </row>
    <row r="78" spans="1:18" x14ac:dyDescent="0.35">
      <c r="A78" s="4" t="s">
        <v>58</v>
      </c>
      <c r="B78" s="28">
        <f>AVERAGEIFS(B$22:B$39,$J$53:$J$70, "C3")</f>
        <v>2.3333333333333335</v>
      </c>
      <c r="C78" s="4">
        <f t="shared" ref="C78:R78" si="13">AVERAGEIFS(C$22:C$39,$J$53:$J$70, "C3")</f>
        <v>2</v>
      </c>
      <c r="D78" s="4">
        <f t="shared" si="13"/>
        <v>2</v>
      </c>
      <c r="E78" s="49">
        <f t="shared" si="13"/>
        <v>2.6666666666666665</v>
      </c>
      <c r="F78" s="4">
        <f t="shared" si="13"/>
        <v>2</v>
      </c>
      <c r="G78" s="4">
        <f t="shared" si="13"/>
        <v>2</v>
      </c>
      <c r="H78" s="4">
        <f t="shared" si="13"/>
        <v>2</v>
      </c>
      <c r="I78" s="49">
        <f t="shared" si="13"/>
        <v>2.3333333333333335</v>
      </c>
      <c r="J78" s="49">
        <f t="shared" si="13"/>
        <v>2.3333333333333335</v>
      </c>
      <c r="K78" s="49">
        <f t="shared" si="13"/>
        <v>2.6666666666666665</v>
      </c>
      <c r="L78" s="49">
        <f t="shared" si="13"/>
        <v>2.3333333333333335</v>
      </c>
      <c r="M78" s="4">
        <f t="shared" si="13"/>
        <v>2</v>
      </c>
      <c r="N78" s="49">
        <f t="shared" si="13"/>
        <v>2.3333333333333335</v>
      </c>
      <c r="O78" s="4">
        <f t="shared" si="13"/>
        <v>2</v>
      </c>
      <c r="P78" s="4">
        <f t="shared" si="13"/>
        <v>2</v>
      </c>
      <c r="Q78" s="49">
        <f t="shared" si="13"/>
        <v>2.3333333333333335</v>
      </c>
      <c r="R78" s="4">
        <f t="shared" si="13"/>
        <v>3</v>
      </c>
    </row>
    <row r="79" spans="1:18" x14ac:dyDescent="0.35">
      <c r="A79" s="4" t="s">
        <v>59</v>
      </c>
      <c r="B79" s="4">
        <f>AVERAGEIFS(B$22:B$39,$J$53:$J$70, "C4")</f>
        <v>2</v>
      </c>
      <c r="C79" s="4">
        <f t="shared" ref="C79:R79" si="14">AVERAGEIFS(C$22:C$39,$J$53:$J$70, "C4")</f>
        <v>2</v>
      </c>
      <c r="D79" s="4">
        <f t="shared" si="14"/>
        <v>3</v>
      </c>
      <c r="E79" s="4">
        <f t="shared" si="14"/>
        <v>2.25</v>
      </c>
      <c r="F79" s="4">
        <f t="shared" si="14"/>
        <v>3</v>
      </c>
      <c r="G79" s="4">
        <f t="shared" si="14"/>
        <v>2.25</v>
      </c>
      <c r="H79" s="4">
        <f t="shared" si="14"/>
        <v>2</v>
      </c>
      <c r="I79" s="4">
        <f t="shared" si="14"/>
        <v>2</v>
      </c>
      <c r="J79" s="4">
        <f t="shared" si="14"/>
        <v>2</v>
      </c>
      <c r="K79" s="4">
        <f t="shared" si="14"/>
        <v>2.25</v>
      </c>
      <c r="L79" s="4">
        <f t="shared" si="14"/>
        <v>2.5</v>
      </c>
      <c r="M79" s="4">
        <f t="shared" si="14"/>
        <v>3</v>
      </c>
      <c r="N79" s="4">
        <f t="shared" si="14"/>
        <v>2</v>
      </c>
      <c r="O79" s="4">
        <f t="shared" si="14"/>
        <v>3</v>
      </c>
      <c r="P79" s="4">
        <f t="shared" si="14"/>
        <v>3</v>
      </c>
      <c r="Q79" s="4">
        <f t="shared" si="14"/>
        <v>2</v>
      </c>
      <c r="R79" s="4">
        <f t="shared" si="14"/>
        <v>2.25</v>
      </c>
    </row>
    <row r="80" spans="1:18" x14ac:dyDescent="0.35">
      <c r="A80" s="4" t="s">
        <v>88</v>
      </c>
      <c r="B80" s="4">
        <f>AVERAGEIFS(B$22:B$39,$J$53:$J$70, "C5")</f>
        <v>3</v>
      </c>
      <c r="C80" s="4">
        <f t="shared" ref="C80:R80" si="15">AVERAGEIFS(C$22:C$39,$J$53:$J$70, "C5")</f>
        <v>2</v>
      </c>
      <c r="D80" s="4">
        <f t="shared" si="15"/>
        <v>3</v>
      </c>
      <c r="E80" s="4">
        <f t="shared" si="15"/>
        <v>2</v>
      </c>
      <c r="F80" s="4">
        <f t="shared" si="15"/>
        <v>3</v>
      </c>
      <c r="G80" s="4">
        <f t="shared" si="15"/>
        <v>2</v>
      </c>
      <c r="H80" s="4">
        <f t="shared" si="15"/>
        <v>3</v>
      </c>
      <c r="I80" s="4">
        <f t="shared" si="15"/>
        <v>2</v>
      </c>
      <c r="J80" s="4">
        <f t="shared" si="15"/>
        <v>3</v>
      </c>
      <c r="K80" s="4">
        <f t="shared" si="15"/>
        <v>2</v>
      </c>
      <c r="L80" s="4">
        <f t="shared" si="15"/>
        <v>2</v>
      </c>
      <c r="M80" s="4">
        <f t="shared" si="15"/>
        <v>2</v>
      </c>
      <c r="N80" s="4">
        <f t="shared" si="15"/>
        <v>2</v>
      </c>
      <c r="O80" s="4">
        <f t="shared" si="15"/>
        <v>2</v>
      </c>
      <c r="P80" s="4">
        <f t="shared" si="15"/>
        <v>3</v>
      </c>
      <c r="Q80" s="4">
        <f t="shared" si="15"/>
        <v>2</v>
      </c>
      <c r="R80" s="4">
        <f t="shared" si="15"/>
        <v>2</v>
      </c>
    </row>
    <row r="81" spans="1:18" x14ac:dyDescent="0.35">
      <c r="A81" s="4" t="s">
        <v>184</v>
      </c>
      <c r="B81" s="4">
        <f>AVERAGEIFS(B$22:B$39,$J$53:$J$70, "C6")</f>
        <v>2</v>
      </c>
      <c r="C81" s="4">
        <f t="shared" ref="C81:R81" si="16">AVERAGEIFS(C$22:C$39,$J$53:$J$70, "C6")</f>
        <v>2</v>
      </c>
      <c r="D81" s="4">
        <f t="shared" si="16"/>
        <v>2</v>
      </c>
      <c r="E81" s="4">
        <f t="shared" si="16"/>
        <v>2</v>
      </c>
      <c r="F81" s="4">
        <f t="shared" si="16"/>
        <v>2</v>
      </c>
      <c r="G81" s="4">
        <f t="shared" si="16"/>
        <v>2.25</v>
      </c>
      <c r="H81" s="4">
        <f t="shared" si="16"/>
        <v>2.5</v>
      </c>
      <c r="I81" s="4">
        <f t="shared" si="16"/>
        <v>2</v>
      </c>
      <c r="J81" s="4">
        <f t="shared" si="16"/>
        <v>2</v>
      </c>
      <c r="K81" s="4">
        <f t="shared" si="16"/>
        <v>2</v>
      </c>
      <c r="L81" s="4">
        <f t="shared" si="16"/>
        <v>2.25</v>
      </c>
      <c r="M81" s="4">
        <f t="shared" si="16"/>
        <v>2.25</v>
      </c>
      <c r="N81" s="4">
        <f t="shared" si="16"/>
        <v>2.25</v>
      </c>
      <c r="O81" s="4">
        <f t="shared" si="16"/>
        <v>2</v>
      </c>
      <c r="P81" s="4">
        <f t="shared" si="16"/>
        <v>2.25</v>
      </c>
      <c r="Q81" s="4">
        <f t="shared" si="16"/>
        <v>2</v>
      </c>
      <c r="R81" s="4">
        <f t="shared" si="16"/>
        <v>2</v>
      </c>
    </row>
    <row r="82" spans="1:18" x14ac:dyDescent="0.35">
      <c r="A82" s="4" t="s">
        <v>185</v>
      </c>
      <c r="B82" s="4">
        <f>AVERAGEIFS(B$22:B$39,$J$53:$J$70, "C7")</f>
        <v>2</v>
      </c>
      <c r="C82" s="4">
        <f t="shared" ref="C82:R82" si="17">AVERAGEIFS(C$22:C$39,$J$53:$J$70, "C7")</f>
        <v>3</v>
      </c>
      <c r="D82" s="4">
        <f t="shared" si="17"/>
        <v>3</v>
      </c>
      <c r="E82" s="4">
        <f t="shared" si="17"/>
        <v>2</v>
      </c>
      <c r="F82" s="4">
        <f t="shared" si="17"/>
        <v>3</v>
      </c>
      <c r="G82" s="4">
        <f t="shared" si="17"/>
        <v>2</v>
      </c>
      <c r="H82" s="4">
        <f t="shared" si="17"/>
        <v>2</v>
      </c>
      <c r="I82" s="4">
        <f t="shared" si="17"/>
        <v>2</v>
      </c>
      <c r="J82" s="4">
        <f t="shared" si="17"/>
        <v>3</v>
      </c>
      <c r="K82" s="4">
        <f t="shared" si="17"/>
        <v>2</v>
      </c>
      <c r="L82" s="4">
        <f t="shared" si="17"/>
        <v>2</v>
      </c>
      <c r="M82" s="4">
        <f t="shared" si="17"/>
        <v>3</v>
      </c>
      <c r="N82" s="4">
        <f t="shared" si="17"/>
        <v>2</v>
      </c>
      <c r="O82" s="4">
        <f t="shared" si="17"/>
        <v>3</v>
      </c>
      <c r="P82" s="4">
        <f t="shared" si="17"/>
        <v>3</v>
      </c>
      <c r="Q82" s="4">
        <f t="shared" si="17"/>
        <v>2</v>
      </c>
      <c r="R82" s="4">
        <f t="shared" si="17"/>
        <v>2</v>
      </c>
    </row>
    <row r="84" spans="1:18" x14ac:dyDescent="0.35">
      <c r="E84" s="45" t="s">
        <v>113</v>
      </c>
    </row>
    <row r="85" spans="1:18" x14ac:dyDescent="0.35">
      <c r="A85" s="45" t="s">
        <v>106</v>
      </c>
      <c r="B85" s="45" t="s">
        <v>49</v>
      </c>
      <c r="C85" s="45" t="s">
        <v>53</v>
      </c>
      <c r="D85" s="45" t="s">
        <v>58</v>
      </c>
      <c r="E85" s="45" t="s">
        <v>59</v>
      </c>
      <c r="F85" s="45" t="s">
        <v>88</v>
      </c>
      <c r="G85" s="45" t="s">
        <v>184</v>
      </c>
      <c r="H85" s="45" t="s">
        <v>185</v>
      </c>
      <c r="I85" s="42" t="s">
        <v>86</v>
      </c>
      <c r="J85" s="42" t="s">
        <v>87</v>
      </c>
      <c r="K85" s="42" t="s">
        <v>104</v>
      </c>
      <c r="L85" s="42" t="s">
        <v>191</v>
      </c>
      <c r="O85" s="42" t="s">
        <v>186</v>
      </c>
      <c r="P85" s="42" t="s">
        <v>187</v>
      </c>
      <c r="Q85" s="42" t="s">
        <v>188</v>
      </c>
    </row>
    <row r="86" spans="1:18" x14ac:dyDescent="0.35">
      <c r="A86" s="14" t="s">
        <v>130</v>
      </c>
      <c r="B86" s="4">
        <f>SQRT(SUMXMY2(B22:R22, $B$76:$R$76))</f>
        <v>1.0307764064044151</v>
      </c>
      <c r="C86" s="4">
        <f>SQRT(SUMXMY2(B22:R22, $B$77:$R$77))</f>
        <v>2.8284271247461903</v>
      </c>
      <c r="D86" s="4">
        <f>SQRT(SUMXMY2(B22:R22, $B$78:$R$78))</f>
        <v>2.1343747458109492</v>
      </c>
      <c r="E86" s="4">
        <f>SQRT(SUMXMY2(B22:R22, $B$79:$R$79))</f>
        <v>3.082207001484488</v>
      </c>
      <c r="F86" s="4">
        <f>SQRT(SUMXMY2(B22:R22, $B$80:$R$80))</f>
        <v>3.1622776601683795</v>
      </c>
      <c r="G86" s="4">
        <f>SQRT(SUMXMY2(B22:R22, $B$81:$R$81))</f>
        <v>2.3584952830141508</v>
      </c>
      <c r="H86" s="4">
        <f>SQRT(SUMXMY2(B22:R22, $B$82:$R$82))</f>
        <v>3.6055512754639891</v>
      </c>
      <c r="I86" s="4">
        <f>MIN(B86:H86)</f>
        <v>1.0307764064044151</v>
      </c>
      <c r="J86" s="4" t="str">
        <f>"C"&amp;MATCH(I86,B86:H86,0)</f>
        <v>C1</v>
      </c>
      <c r="K86" s="14">
        <f>I86^2</f>
        <v>1.0625</v>
      </c>
      <c r="L86" s="14">
        <f>SUM(K86:K103)</f>
        <v>18.833333333333336</v>
      </c>
      <c r="O86" s="103" t="s">
        <v>49</v>
      </c>
      <c r="P86" s="103">
        <v>4</v>
      </c>
      <c r="Q86" s="4" t="s">
        <v>130</v>
      </c>
    </row>
    <row r="87" spans="1:18" x14ac:dyDescent="0.35">
      <c r="A87" s="14" t="s">
        <v>134</v>
      </c>
      <c r="B87" s="4">
        <f t="shared" ref="B87:B103" si="18">SQRT(SUMXMY2(B23:R23, $B$76:$R$76))</f>
        <v>2.5617376914898995</v>
      </c>
      <c r="C87" s="4">
        <f t="shared" ref="C87:C103" si="19">SQRT(SUMXMY2(B23:R23, $B$77:$R$77))</f>
        <v>0</v>
      </c>
      <c r="D87" s="4">
        <f t="shared" ref="D87:D103" si="20">SQRT(SUMXMY2(B23:R23, $B$78:$R$78))</f>
        <v>2.9249881291307074</v>
      </c>
      <c r="E87" s="4">
        <f t="shared" ref="E87:E103" si="21">SQRT(SUMXMY2(B23:R23, $B$79:$R$79))</f>
        <v>1.8708286933869707</v>
      </c>
      <c r="F87" s="4">
        <f t="shared" ref="F87:F103" si="22">SQRT(SUMXMY2(B23:R23, $B$80:$R$80))</f>
        <v>2.4494897427831779</v>
      </c>
      <c r="G87" s="4">
        <f t="shared" ref="G87:G103" si="23">SQRT(SUMXMY2(B23:R23, $B$81:$R$81))</f>
        <v>2.75</v>
      </c>
      <c r="H87" s="4">
        <f t="shared" ref="H87:H103" si="24">SQRT(SUMXMY2(B23:R23, $B$82:$R$82))</f>
        <v>2.2360679774997898</v>
      </c>
      <c r="I87" s="4">
        <f t="shared" ref="I87:I103" si="25">MIN(B87:H87)</f>
        <v>0</v>
      </c>
      <c r="J87" s="4" t="str">
        <f t="shared" ref="J87:J103" si="26">"C"&amp;MATCH(I87,B87:H87,0)</f>
        <v>C2</v>
      </c>
      <c r="K87" s="38">
        <f t="shared" ref="K87:K103" si="27">I87^2</f>
        <v>0</v>
      </c>
      <c r="O87" s="104"/>
      <c r="P87" s="104"/>
      <c r="Q87" s="4" t="s">
        <v>157</v>
      </c>
    </row>
    <row r="88" spans="1:18" x14ac:dyDescent="0.35">
      <c r="A88" s="14" t="s">
        <v>137</v>
      </c>
      <c r="B88" s="4">
        <f t="shared" si="18"/>
        <v>2.5617376914898995</v>
      </c>
      <c r="C88" s="4">
        <f t="shared" si="19"/>
        <v>3.3166247903553998</v>
      </c>
      <c r="D88" s="4">
        <f t="shared" si="20"/>
        <v>0.94280904158206369</v>
      </c>
      <c r="E88" s="4">
        <f t="shared" si="21"/>
        <v>2.6457513110645907</v>
      </c>
      <c r="F88" s="4">
        <f t="shared" si="22"/>
        <v>3</v>
      </c>
      <c r="G88" s="4">
        <f t="shared" si="23"/>
        <v>1.8874586088176875</v>
      </c>
      <c r="H88" s="4">
        <f t="shared" si="24"/>
        <v>3.1622776601683795</v>
      </c>
      <c r="I88" s="4">
        <f t="shared" si="25"/>
        <v>0.94280904158206369</v>
      </c>
      <c r="J88" s="4" t="str">
        <f t="shared" si="26"/>
        <v>C3</v>
      </c>
      <c r="K88" s="38">
        <f t="shared" si="27"/>
        <v>0.88888888888888951</v>
      </c>
      <c r="O88" s="104"/>
      <c r="P88" s="104"/>
      <c r="Q88" s="4" t="s">
        <v>172</v>
      </c>
    </row>
    <row r="89" spans="1:18" x14ac:dyDescent="0.35">
      <c r="A89" s="14" t="s">
        <v>140</v>
      </c>
      <c r="B89" s="4">
        <f t="shared" si="18"/>
        <v>3.0103986446980739</v>
      </c>
      <c r="C89" s="4">
        <f t="shared" si="19"/>
        <v>2</v>
      </c>
      <c r="D89" s="4">
        <f t="shared" si="20"/>
        <v>2.8087165910587863</v>
      </c>
      <c r="E89" s="4">
        <f t="shared" si="21"/>
        <v>0.70710678118654757</v>
      </c>
      <c r="F89" s="4">
        <f t="shared" si="22"/>
        <v>2.4494897427831779</v>
      </c>
      <c r="G89" s="4">
        <f t="shared" si="23"/>
        <v>2.25</v>
      </c>
      <c r="H89" s="4">
        <f t="shared" si="24"/>
        <v>1.7320508075688772</v>
      </c>
      <c r="I89" s="4">
        <f t="shared" si="25"/>
        <v>0.70710678118654757</v>
      </c>
      <c r="J89" s="4" t="str">
        <f t="shared" si="26"/>
        <v>C4</v>
      </c>
      <c r="K89" s="38">
        <f t="shared" si="27"/>
        <v>0.50000000000000011</v>
      </c>
      <c r="O89" s="105"/>
      <c r="P89" s="105"/>
      <c r="Q89" s="4" t="s">
        <v>178</v>
      </c>
    </row>
    <row r="90" spans="1:18" x14ac:dyDescent="0.35">
      <c r="A90" s="14" t="s">
        <v>143</v>
      </c>
      <c r="B90" s="4">
        <f t="shared" si="18"/>
        <v>2.8394541729001368</v>
      </c>
      <c r="C90" s="4">
        <f t="shared" si="19"/>
        <v>2.4494897427831779</v>
      </c>
      <c r="D90" s="4">
        <f t="shared" si="20"/>
        <v>2.6874192494328502</v>
      </c>
      <c r="E90" s="4">
        <f t="shared" si="21"/>
        <v>2.3452078799117149</v>
      </c>
      <c r="F90" s="4">
        <f t="shared" si="22"/>
        <v>0</v>
      </c>
      <c r="G90" s="4">
        <f t="shared" si="23"/>
        <v>2.25</v>
      </c>
      <c r="H90" s="4">
        <f t="shared" si="24"/>
        <v>2.2360679774997898</v>
      </c>
      <c r="I90" s="4">
        <f t="shared" si="25"/>
        <v>0</v>
      </c>
      <c r="J90" s="4" t="str">
        <f t="shared" si="26"/>
        <v>C5</v>
      </c>
      <c r="K90" s="38">
        <f t="shared" si="27"/>
        <v>0</v>
      </c>
      <c r="O90" s="4" t="s">
        <v>53</v>
      </c>
      <c r="P90" s="4">
        <v>1</v>
      </c>
      <c r="Q90" s="4" t="s">
        <v>134</v>
      </c>
    </row>
    <row r="91" spans="1:18" x14ac:dyDescent="0.35">
      <c r="A91" s="14" t="s">
        <v>146</v>
      </c>
      <c r="B91" s="4">
        <f t="shared" si="18"/>
        <v>2.5617376914898995</v>
      </c>
      <c r="C91" s="4">
        <f t="shared" si="19"/>
        <v>2.8284271247461903</v>
      </c>
      <c r="D91" s="4">
        <f t="shared" si="20"/>
        <v>2.1343747458109497</v>
      </c>
      <c r="E91" s="4">
        <f t="shared" si="21"/>
        <v>2.3452078799117149</v>
      </c>
      <c r="F91" s="4">
        <f t="shared" si="22"/>
        <v>2.4494897427831779</v>
      </c>
      <c r="G91" s="4">
        <f t="shared" si="23"/>
        <v>1.0307764064044151</v>
      </c>
      <c r="H91" s="4">
        <f t="shared" si="24"/>
        <v>2.6457513110645907</v>
      </c>
      <c r="I91" s="4">
        <f t="shared" si="25"/>
        <v>1.0307764064044151</v>
      </c>
      <c r="J91" s="4" t="str">
        <f t="shared" si="26"/>
        <v>C6</v>
      </c>
      <c r="K91" s="38">
        <f t="shared" si="27"/>
        <v>1.0625</v>
      </c>
      <c r="O91" s="72" t="s">
        <v>58</v>
      </c>
      <c r="P91" s="72">
        <v>3</v>
      </c>
      <c r="Q91" s="4" t="s">
        <v>189</v>
      </c>
    </row>
    <row r="92" spans="1:18" x14ac:dyDescent="0.35">
      <c r="A92" s="14" t="s">
        <v>149</v>
      </c>
      <c r="B92" s="4">
        <f t="shared" si="18"/>
        <v>3.1721443851123801</v>
      </c>
      <c r="C92" s="4">
        <f t="shared" si="19"/>
        <v>2.2360679774997898</v>
      </c>
      <c r="D92" s="4">
        <f t="shared" si="20"/>
        <v>2.9814239699997196</v>
      </c>
      <c r="E92" s="4">
        <f t="shared" si="21"/>
        <v>1.5811388300841898</v>
      </c>
      <c r="F92" s="4">
        <f t="shared" si="22"/>
        <v>2.2360679774997898</v>
      </c>
      <c r="G92" s="4">
        <f t="shared" si="23"/>
        <v>2.5617376914898995</v>
      </c>
      <c r="H92" s="4">
        <f t="shared" si="24"/>
        <v>0</v>
      </c>
      <c r="I92" s="4">
        <f t="shared" si="25"/>
        <v>0</v>
      </c>
      <c r="J92" s="4" t="str">
        <f t="shared" si="26"/>
        <v>C7</v>
      </c>
      <c r="K92" s="38">
        <f t="shared" si="27"/>
        <v>0</v>
      </c>
      <c r="O92" s="72"/>
      <c r="P92" s="72"/>
      <c r="Q92" s="4" t="s">
        <v>151</v>
      </c>
    </row>
    <row r="93" spans="1:18" x14ac:dyDescent="0.35">
      <c r="A93" s="14" t="s">
        <v>151</v>
      </c>
      <c r="B93" s="4">
        <f t="shared" si="18"/>
        <v>1.8874586088176875</v>
      </c>
      <c r="C93" s="4">
        <f t="shared" si="19"/>
        <v>2.8284271247461903</v>
      </c>
      <c r="D93" s="4">
        <f t="shared" si="20"/>
        <v>1.3743685418725535</v>
      </c>
      <c r="E93" s="4">
        <f t="shared" si="21"/>
        <v>3.1622776601683795</v>
      </c>
      <c r="F93" s="4">
        <f t="shared" si="22"/>
        <v>3.1622776601683795</v>
      </c>
      <c r="G93" s="4">
        <f t="shared" si="23"/>
        <v>2.5617376914898995</v>
      </c>
      <c r="H93" s="4">
        <f t="shared" si="24"/>
        <v>3.6055512754639891</v>
      </c>
      <c r="I93" s="4">
        <f t="shared" si="25"/>
        <v>1.3743685418725535</v>
      </c>
      <c r="J93" s="4" t="str">
        <f t="shared" si="26"/>
        <v>C3</v>
      </c>
      <c r="K93" s="38">
        <f t="shared" si="27"/>
        <v>1.8888888888888888</v>
      </c>
      <c r="O93" s="72"/>
      <c r="P93" s="72"/>
      <c r="Q93" s="4" t="s">
        <v>154</v>
      </c>
    </row>
    <row r="94" spans="1:18" x14ac:dyDescent="0.35">
      <c r="A94" s="14" t="s">
        <v>154</v>
      </c>
      <c r="B94" s="4">
        <f t="shared" si="18"/>
        <v>2.5617376914898995</v>
      </c>
      <c r="C94" s="4">
        <f t="shared" si="19"/>
        <v>3.4641016151377544</v>
      </c>
      <c r="D94" s="4">
        <f t="shared" si="20"/>
        <v>1.5986105077709063</v>
      </c>
      <c r="E94" s="4">
        <f t="shared" si="21"/>
        <v>2.8284271247461903</v>
      </c>
      <c r="F94" s="4">
        <f t="shared" si="22"/>
        <v>2.8284271247461903</v>
      </c>
      <c r="G94" s="4">
        <f t="shared" si="23"/>
        <v>1.8874586088176875</v>
      </c>
      <c r="H94" s="4">
        <f t="shared" si="24"/>
        <v>3</v>
      </c>
      <c r="I94" s="4">
        <f t="shared" si="25"/>
        <v>1.5986105077709063</v>
      </c>
      <c r="J94" s="4" t="str">
        <f t="shared" si="26"/>
        <v>C3</v>
      </c>
      <c r="K94" s="38">
        <f t="shared" si="27"/>
        <v>2.5555555555555549</v>
      </c>
      <c r="O94" s="72" t="s">
        <v>59</v>
      </c>
      <c r="P94" s="72">
        <v>4</v>
      </c>
      <c r="Q94" s="4" t="s">
        <v>140</v>
      </c>
    </row>
    <row r="95" spans="1:18" x14ac:dyDescent="0.35">
      <c r="A95" s="14" t="s">
        <v>157</v>
      </c>
      <c r="B95" s="4">
        <f t="shared" si="18"/>
        <v>1.0307764064044151</v>
      </c>
      <c r="C95" s="4">
        <f t="shared" si="19"/>
        <v>3</v>
      </c>
      <c r="D95" s="4">
        <f t="shared" si="20"/>
        <v>2.3570226039551585</v>
      </c>
      <c r="E95" s="4">
        <f t="shared" si="21"/>
        <v>3.2403703492039302</v>
      </c>
      <c r="F95" s="4">
        <f t="shared" si="22"/>
        <v>3.3166247903553998</v>
      </c>
      <c r="G95" s="4">
        <f t="shared" si="23"/>
        <v>2.5617376914898995</v>
      </c>
      <c r="H95" s="4">
        <f t="shared" si="24"/>
        <v>3.4641016151377544</v>
      </c>
      <c r="I95" s="4">
        <f t="shared" si="25"/>
        <v>1.0307764064044151</v>
      </c>
      <c r="J95" s="4" t="str">
        <f t="shared" si="26"/>
        <v>C1</v>
      </c>
      <c r="K95" s="38">
        <f t="shared" si="27"/>
        <v>1.0625</v>
      </c>
      <c r="O95" s="72"/>
      <c r="P95" s="72"/>
      <c r="Q95" s="4" t="s">
        <v>160</v>
      </c>
    </row>
    <row r="96" spans="1:18" x14ac:dyDescent="0.35">
      <c r="A96" s="14" t="s">
        <v>160</v>
      </c>
      <c r="B96" s="4">
        <f t="shared" si="18"/>
        <v>2.9261749776799064</v>
      </c>
      <c r="C96" s="4">
        <f t="shared" si="19"/>
        <v>2.2360679774997898</v>
      </c>
      <c r="D96" s="4">
        <f t="shared" si="20"/>
        <v>2.9814239699997196</v>
      </c>
      <c r="E96" s="4">
        <f t="shared" si="21"/>
        <v>1</v>
      </c>
      <c r="F96" s="4">
        <f t="shared" si="22"/>
        <v>2.6457513110645907</v>
      </c>
      <c r="G96" s="4">
        <f t="shared" si="23"/>
        <v>2.3584952830141508</v>
      </c>
      <c r="H96" s="4">
        <f t="shared" si="24"/>
        <v>2</v>
      </c>
      <c r="I96" s="4">
        <f t="shared" si="25"/>
        <v>1</v>
      </c>
      <c r="J96" s="4" t="str">
        <f t="shared" si="26"/>
        <v>C4</v>
      </c>
      <c r="K96" s="38">
        <f t="shared" si="27"/>
        <v>1</v>
      </c>
      <c r="O96" s="72"/>
      <c r="P96" s="72"/>
      <c r="Q96" s="4" t="s">
        <v>163</v>
      </c>
    </row>
    <row r="97" spans="1:18" x14ac:dyDescent="0.35">
      <c r="A97" s="14" t="s">
        <v>163</v>
      </c>
      <c r="B97" s="4">
        <f t="shared" si="18"/>
        <v>3.0923292192132452</v>
      </c>
      <c r="C97" s="4">
        <f t="shared" si="19"/>
        <v>1.7320508075688772</v>
      </c>
      <c r="D97" s="4">
        <f t="shared" si="20"/>
        <v>2.7487370837451071</v>
      </c>
      <c r="E97" s="4">
        <f t="shared" si="21"/>
        <v>0.70710678118654757</v>
      </c>
      <c r="F97" s="4">
        <f t="shared" si="22"/>
        <v>2.2360679774997898</v>
      </c>
      <c r="G97" s="4">
        <f t="shared" si="23"/>
        <v>2.1360009363293826</v>
      </c>
      <c r="H97" s="4">
        <f t="shared" si="24"/>
        <v>1.4142135623730951</v>
      </c>
      <c r="I97" s="4">
        <f t="shared" si="25"/>
        <v>0.70710678118654757</v>
      </c>
      <c r="J97" s="4" t="str">
        <f t="shared" si="26"/>
        <v>C4</v>
      </c>
      <c r="K97" s="38">
        <f t="shared" si="27"/>
        <v>0.50000000000000011</v>
      </c>
      <c r="O97" s="72"/>
      <c r="P97" s="72"/>
      <c r="Q97" s="4" t="s">
        <v>175</v>
      </c>
    </row>
    <row r="98" spans="1:18" x14ac:dyDescent="0.35">
      <c r="A98" s="14" t="s">
        <v>166</v>
      </c>
      <c r="B98" s="4">
        <f t="shared" si="18"/>
        <v>2.1360009363293826</v>
      </c>
      <c r="C98" s="4">
        <f t="shared" si="19"/>
        <v>2.8284271247461903</v>
      </c>
      <c r="D98" s="4">
        <f t="shared" si="20"/>
        <v>1.5986105077709065</v>
      </c>
      <c r="E98" s="4">
        <f t="shared" si="21"/>
        <v>2.3452078799117149</v>
      </c>
      <c r="F98" s="4">
        <f t="shared" si="22"/>
        <v>2.4494897427831779</v>
      </c>
      <c r="G98" s="4">
        <f t="shared" si="23"/>
        <v>0.75</v>
      </c>
      <c r="H98" s="4">
        <f t="shared" si="24"/>
        <v>2.6457513110645907</v>
      </c>
      <c r="I98" s="4">
        <f t="shared" si="25"/>
        <v>0.75</v>
      </c>
      <c r="J98" s="4" t="str">
        <f t="shared" si="26"/>
        <v>C6</v>
      </c>
      <c r="K98" s="38">
        <f t="shared" si="27"/>
        <v>0.5625</v>
      </c>
      <c r="O98" s="4" t="s">
        <v>88</v>
      </c>
      <c r="P98" s="4">
        <v>1</v>
      </c>
      <c r="Q98" s="4" t="s">
        <v>190</v>
      </c>
    </row>
    <row r="99" spans="1:18" x14ac:dyDescent="0.35">
      <c r="A99" s="14" t="s">
        <v>169</v>
      </c>
      <c r="B99" s="4">
        <f t="shared" si="18"/>
        <v>2.5617376914898995</v>
      </c>
      <c r="C99" s="4">
        <f t="shared" si="19"/>
        <v>3.3166247903553998</v>
      </c>
      <c r="D99" s="4">
        <f t="shared" si="20"/>
        <v>2.4944382578492941</v>
      </c>
      <c r="E99" s="4">
        <f t="shared" si="21"/>
        <v>2.6457513110645907</v>
      </c>
      <c r="F99" s="4">
        <f t="shared" si="22"/>
        <v>2.6457513110645907</v>
      </c>
      <c r="G99" s="4">
        <f t="shared" si="23"/>
        <v>1.6007810593582121</v>
      </c>
      <c r="H99" s="4">
        <f t="shared" si="24"/>
        <v>3.1622776601683795</v>
      </c>
      <c r="I99" s="4">
        <f t="shared" si="25"/>
        <v>1.6007810593582121</v>
      </c>
      <c r="J99" s="4" t="str">
        <f t="shared" si="26"/>
        <v>C6</v>
      </c>
      <c r="K99" s="38">
        <f t="shared" si="27"/>
        <v>2.5625</v>
      </c>
      <c r="O99" s="72" t="s">
        <v>184</v>
      </c>
      <c r="P99" s="72">
        <v>4</v>
      </c>
      <c r="Q99" s="4" t="s">
        <v>146</v>
      </c>
    </row>
    <row r="100" spans="1:18" x14ac:dyDescent="0.35">
      <c r="A100" s="14" t="s">
        <v>172</v>
      </c>
      <c r="B100" s="4">
        <f t="shared" si="18"/>
        <v>1.4361406616345072</v>
      </c>
      <c r="C100" s="4">
        <f t="shared" si="19"/>
        <v>2.6457513110645907</v>
      </c>
      <c r="D100" s="4">
        <f t="shared" si="20"/>
        <v>2.2110831935702664</v>
      </c>
      <c r="E100" s="4">
        <f t="shared" si="21"/>
        <v>3.2403703492039302</v>
      </c>
      <c r="F100" s="4">
        <f t="shared" si="22"/>
        <v>2.6457513110645907</v>
      </c>
      <c r="G100" s="4">
        <f t="shared" si="23"/>
        <v>2.3584952830141508</v>
      </c>
      <c r="H100" s="4">
        <f t="shared" si="24"/>
        <v>2.8284271247461903</v>
      </c>
      <c r="I100" s="4">
        <f t="shared" si="25"/>
        <v>1.4361406616345072</v>
      </c>
      <c r="J100" s="4" t="str">
        <f t="shared" si="26"/>
        <v>C1</v>
      </c>
      <c r="K100" s="38">
        <f t="shared" si="27"/>
        <v>2.0625</v>
      </c>
      <c r="O100" s="72"/>
      <c r="P100" s="72"/>
      <c r="Q100" s="4" t="s">
        <v>166</v>
      </c>
    </row>
    <row r="101" spans="1:18" x14ac:dyDescent="0.35">
      <c r="A101" s="14" t="s">
        <v>175</v>
      </c>
      <c r="B101" s="4">
        <f t="shared" si="18"/>
        <v>3.400367627183861</v>
      </c>
      <c r="C101" s="4">
        <f t="shared" si="19"/>
        <v>2.4494897427831779</v>
      </c>
      <c r="D101" s="4">
        <f t="shared" si="20"/>
        <v>2.4267032964268398</v>
      </c>
      <c r="E101" s="4">
        <f t="shared" si="21"/>
        <v>1.4142135623730951</v>
      </c>
      <c r="F101" s="4">
        <f t="shared" si="22"/>
        <v>2.8284271247461903</v>
      </c>
      <c r="G101" s="4">
        <f t="shared" si="23"/>
        <v>2.75</v>
      </c>
      <c r="H101" s="4">
        <f t="shared" si="24"/>
        <v>2.2360679774997898</v>
      </c>
      <c r="I101" s="4">
        <f t="shared" si="25"/>
        <v>1.4142135623730951</v>
      </c>
      <c r="J101" s="4" t="str">
        <f t="shared" si="26"/>
        <v>C4</v>
      </c>
      <c r="K101" s="38">
        <f t="shared" si="27"/>
        <v>2.0000000000000004</v>
      </c>
      <c r="O101" s="72"/>
      <c r="P101" s="72"/>
      <c r="Q101" s="4" t="s">
        <v>169</v>
      </c>
    </row>
    <row r="102" spans="1:18" x14ac:dyDescent="0.35">
      <c r="A102" s="14" t="s">
        <v>178</v>
      </c>
      <c r="B102" s="4">
        <f t="shared" si="18"/>
        <v>0.75</v>
      </c>
      <c r="C102" s="4">
        <f t="shared" si="19"/>
        <v>2.6457513110645907</v>
      </c>
      <c r="D102" s="4">
        <f t="shared" si="20"/>
        <v>2.2110831935702664</v>
      </c>
      <c r="E102" s="4">
        <f t="shared" si="21"/>
        <v>3</v>
      </c>
      <c r="F102" s="4">
        <f t="shared" si="22"/>
        <v>3</v>
      </c>
      <c r="G102" s="4">
        <f t="shared" si="23"/>
        <v>2.1360009363293826</v>
      </c>
      <c r="H102" s="4">
        <f t="shared" si="24"/>
        <v>3.4641016151377544</v>
      </c>
      <c r="I102" s="4">
        <f t="shared" si="25"/>
        <v>0.75</v>
      </c>
      <c r="J102" s="4" t="str">
        <f t="shared" si="26"/>
        <v>C1</v>
      </c>
      <c r="K102" s="38">
        <f t="shared" si="27"/>
        <v>0.5625</v>
      </c>
      <c r="O102" s="72"/>
      <c r="P102" s="72"/>
      <c r="Q102" s="4" t="s">
        <v>181</v>
      </c>
    </row>
    <row r="103" spans="1:18" x14ac:dyDescent="0.35">
      <c r="A103" s="14" t="s">
        <v>181</v>
      </c>
      <c r="B103" s="4">
        <f t="shared" si="18"/>
        <v>2.1360009363293826</v>
      </c>
      <c r="C103" s="4">
        <f t="shared" si="19"/>
        <v>2.8284271247461903</v>
      </c>
      <c r="D103" s="4">
        <f t="shared" si="20"/>
        <v>1.5986105077709065</v>
      </c>
      <c r="E103" s="4">
        <f t="shared" si="21"/>
        <v>2.3452078799117149</v>
      </c>
      <c r="F103" s="4">
        <f t="shared" si="22"/>
        <v>2.4494897427831779</v>
      </c>
      <c r="G103" s="4">
        <f t="shared" si="23"/>
        <v>0.75</v>
      </c>
      <c r="H103" s="4">
        <f t="shared" si="24"/>
        <v>2.6457513110645907</v>
      </c>
      <c r="I103" s="4">
        <f t="shared" si="25"/>
        <v>0.75</v>
      </c>
      <c r="J103" s="4" t="str">
        <f t="shared" si="26"/>
        <v>C6</v>
      </c>
      <c r="K103" s="38">
        <f t="shared" si="27"/>
        <v>0.5625</v>
      </c>
      <c r="O103" s="41" t="s">
        <v>185</v>
      </c>
      <c r="P103" s="41">
        <v>1</v>
      </c>
      <c r="Q103" s="41" t="s">
        <v>149</v>
      </c>
    </row>
    <row r="108" spans="1:18" x14ac:dyDescent="0.35">
      <c r="A108" s="97" t="s">
        <v>96</v>
      </c>
      <c r="B108" s="97"/>
      <c r="C108" s="97"/>
      <c r="D108" s="97"/>
      <c r="E108" s="97"/>
      <c r="F108" s="97"/>
      <c r="G108" s="97"/>
      <c r="H108" s="97"/>
      <c r="I108" s="97"/>
      <c r="J108" s="97"/>
      <c r="K108" s="97"/>
      <c r="L108" s="97"/>
      <c r="M108" s="97"/>
      <c r="N108" s="97"/>
      <c r="O108" s="97"/>
      <c r="P108" s="97"/>
      <c r="Q108" s="97"/>
      <c r="R108" s="97"/>
    </row>
    <row r="109" spans="1:18" x14ac:dyDescent="0.35">
      <c r="A109" s="46" t="s">
        <v>47</v>
      </c>
      <c r="B109" s="45" t="s">
        <v>110</v>
      </c>
      <c r="C109" s="45" t="s">
        <v>111</v>
      </c>
      <c r="D109" s="45" t="s">
        <v>112</v>
      </c>
      <c r="E109" s="45" t="s">
        <v>113</v>
      </c>
      <c r="F109" s="45" t="s">
        <v>114</v>
      </c>
      <c r="G109" s="45" t="s">
        <v>115</v>
      </c>
      <c r="H109" s="45" t="s">
        <v>116</v>
      </c>
      <c r="I109" s="45" t="s">
        <v>117</v>
      </c>
      <c r="J109" s="45" t="s">
        <v>118</v>
      </c>
      <c r="K109" s="45" t="s">
        <v>119</v>
      </c>
      <c r="L109" s="45" t="s">
        <v>120</v>
      </c>
      <c r="M109" s="45" t="s">
        <v>121</v>
      </c>
      <c r="N109" s="45" t="s">
        <v>122</v>
      </c>
      <c r="O109" s="45" t="s">
        <v>124</v>
      </c>
      <c r="P109" s="45" t="s">
        <v>125</v>
      </c>
      <c r="Q109" s="45" t="s">
        <v>126</v>
      </c>
      <c r="R109" s="45" t="s">
        <v>127</v>
      </c>
    </row>
    <row r="110" spans="1:18" x14ac:dyDescent="0.35">
      <c r="A110" s="4" t="s">
        <v>49</v>
      </c>
      <c r="B110" s="4">
        <f>AVERAGEIFS(B$22:B$39,$J$86:$J$103, "C1")</f>
        <v>3</v>
      </c>
      <c r="C110" s="4">
        <f t="shared" ref="C110:R110" si="28">AVERAGEIFS(C$22:C$39,$J$86:$J$103, "C1")</f>
        <v>2.5</v>
      </c>
      <c r="D110" s="4">
        <f t="shared" si="28"/>
        <v>2</v>
      </c>
      <c r="E110" s="4">
        <f t="shared" si="28"/>
        <v>2.25</v>
      </c>
      <c r="F110" s="4">
        <f t="shared" si="28"/>
        <v>2</v>
      </c>
      <c r="G110" s="4">
        <f t="shared" si="28"/>
        <v>2.75</v>
      </c>
      <c r="H110" s="4">
        <f t="shared" si="28"/>
        <v>2</v>
      </c>
      <c r="I110" s="4">
        <f t="shared" si="28"/>
        <v>3</v>
      </c>
      <c r="J110" s="4">
        <f t="shared" si="28"/>
        <v>2.25</v>
      </c>
      <c r="K110" s="4">
        <f t="shared" si="28"/>
        <v>2.25</v>
      </c>
      <c r="L110" s="4">
        <f t="shared" si="28"/>
        <v>2.75</v>
      </c>
      <c r="M110" s="4">
        <f t="shared" si="28"/>
        <v>2</v>
      </c>
      <c r="N110" s="4">
        <f t="shared" si="28"/>
        <v>2</v>
      </c>
      <c r="O110" s="4">
        <f t="shared" si="28"/>
        <v>2</v>
      </c>
      <c r="P110" s="4">
        <f t="shared" si="28"/>
        <v>2</v>
      </c>
      <c r="Q110" s="4">
        <f t="shared" si="28"/>
        <v>3</v>
      </c>
      <c r="R110" s="4">
        <f t="shared" si="28"/>
        <v>2</v>
      </c>
    </row>
    <row r="111" spans="1:18" x14ac:dyDescent="0.35">
      <c r="A111" s="4" t="s">
        <v>53</v>
      </c>
      <c r="B111" s="4">
        <f>AVERAGEIFS(B$22:B$39,$J$86:$J$103, "C2")</f>
        <v>3</v>
      </c>
      <c r="C111" s="4">
        <f t="shared" ref="C111:R111" si="29">AVERAGEIFS(C$22:C$39,$J$86:$J$103, "C2")</f>
        <v>2</v>
      </c>
      <c r="D111" s="4">
        <f t="shared" si="29"/>
        <v>3</v>
      </c>
      <c r="E111" s="4">
        <f t="shared" si="29"/>
        <v>2</v>
      </c>
      <c r="F111" s="4">
        <f t="shared" si="29"/>
        <v>3</v>
      </c>
      <c r="G111" s="4">
        <f t="shared" si="29"/>
        <v>2</v>
      </c>
      <c r="H111" s="4">
        <f t="shared" si="29"/>
        <v>2</v>
      </c>
      <c r="I111" s="4">
        <f t="shared" si="29"/>
        <v>3</v>
      </c>
      <c r="J111" s="4">
        <f t="shared" si="29"/>
        <v>2</v>
      </c>
      <c r="K111" s="4">
        <f t="shared" si="29"/>
        <v>2</v>
      </c>
      <c r="L111" s="4">
        <f t="shared" si="29"/>
        <v>2</v>
      </c>
      <c r="M111" s="4">
        <f t="shared" si="29"/>
        <v>3</v>
      </c>
      <c r="N111" s="4">
        <f t="shared" si="29"/>
        <v>2</v>
      </c>
      <c r="O111" s="4">
        <f t="shared" si="29"/>
        <v>3</v>
      </c>
      <c r="P111" s="4">
        <f t="shared" si="29"/>
        <v>3</v>
      </c>
      <c r="Q111" s="4">
        <f t="shared" si="29"/>
        <v>3</v>
      </c>
      <c r="R111" s="4">
        <f t="shared" si="29"/>
        <v>2</v>
      </c>
    </row>
    <row r="112" spans="1:18" x14ac:dyDescent="0.35">
      <c r="A112" s="4" t="s">
        <v>58</v>
      </c>
      <c r="B112" s="4">
        <f>AVERAGEIFS(B$22:B$39,$J$86:$J$103, "C3")</f>
        <v>2.3333333333333335</v>
      </c>
      <c r="C112" s="4">
        <f t="shared" ref="C112:R112" si="30">AVERAGEIFS(C$22:C$39,$J$86:$J$103, "C3")</f>
        <v>2</v>
      </c>
      <c r="D112" s="4">
        <f t="shared" si="30"/>
        <v>2</v>
      </c>
      <c r="E112" s="4">
        <f t="shared" si="30"/>
        <v>2.6666666666666665</v>
      </c>
      <c r="F112" s="4">
        <f t="shared" si="30"/>
        <v>2</v>
      </c>
      <c r="G112" s="4">
        <f t="shared" si="30"/>
        <v>2</v>
      </c>
      <c r="H112" s="4">
        <f t="shared" si="30"/>
        <v>2</v>
      </c>
      <c r="I112" s="4">
        <f t="shared" si="30"/>
        <v>2.3333333333333335</v>
      </c>
      <c r="J112" s="4">
        <f t="shared" si="30"/>
        <v>2.3333333333333335</v>
      </c>
      <c r="K112" s="4">
        <f t="shared" si="30"/>
        <v>2.6666666666666665</v>
      </c>
      <c r="L112" s="4">
        <f t="shared" si="30"/>
        <v>2.3333333333333335</v>
      </c>
      <c r="M112" s="4">
        <f t="shared" si="30"/>
        <v>2</v>
      </c>
      <c r="N112" s="4">
        <f t="shared" si="30"/>
        <v>2.3333333333333335</v>
      </c>
      <c r="O112" s="4">
        <f t="shared" si="30"/>
        <v>2</v>
      </c>
      <c r="P112" s="4">
        <f t="shared" si="30"/>
        <v>2</v>
      </c>
      <c r="Q112" s="4">
        <f t="shared" si="30"/>
        <v>2.3333333333333335</v>
      </c>
      <c r="R112" s="4">
        <f t="shared" si="30"/>
        <v>3</v>
      </c>
    </row>
    <row r="113" spans="1:18" x14ac:dyDescent="0.35">
      <c r="A113" s="4" t="s">
        <v>59</v>
      </c>
      <c r="B113" s="4">
        <f>AVERAGEIFS(B$22:B$39,$J$86:$J$103, "C4")</f>
        <v>2</v>
      </c>
      <c r="C113" s="4">
        <f t="shared" ref="C113:R113" si="31">AVERAGEIFS(C$22:C$39,$J$86:$J$103, "C4")</f>
        <v>2</v>
      </c>
      <c r="D113" s="4">
        <f t="shared" si="31"/>
        <v>3</v>
      </c>
      <c r="E113" s="4">
        <f t="shared" si="31"/>
        <v>2.25</v>
      </c>
      <c r="F113" s="4">
        <f t="shared" si="31"/>
        <v>3</v>
      </c>
      <c r="G113" s="4">
        <f t="shared" si="31"/>
        <v>2.25</v>
      </c>
      <c r="H113" s="4">
        <f t="shared" si="31"/>
        <v>2</v>
      </c>
      <c r="I113" s="4">
        <f t="shared" si="31"/>
        <v>2</v>
      </c>
      <c r="J113" s="4">
        <f t="shared" si="31"/>
        <v>2</v>
      </c>
      <c r="K113" s="4">
        <f t="shared" si="31"/>
        <v>2.25</v>
      </c>
      <c r="L113" s="4">
        <f t="shared" si="31"/>
        <v>2.5</v>
      </c>
      <c r="M113" s="4">
        <f t="shared" si="31"/>
        <v>3</v>
      </c>
      <c r="N113" s="4">
        <f t="shared" si="31"/>
        <v>2</v>
      </c>
      <c r="O113" s="4">
        <f t="shared" si="31"/>
        <v>3</v>
      </c>
      <c r="P113" s="4">
        <f t="shared" si="31"/>
        <v>3</v>
      </c>
      <c r="Q113" s="4">
        <f t="shared" si="31"/>
        <v>2</v>
      </c>
      <c r="R113" s="4">
        <f t="shared" si="31"/>
        <v>2.25</v>
      </c>
    </row>
    <row r="114" spans="1:18" x14ac:dyDescent="0.35">
      <c r="A114" s="4" t="s">
        <v>88</v>
      </c>
      <c r="B114" s="4">
        <f>AVERAGEIFS(B$22:B$39,$J$86:$J$103, "C6")</f>
        <v>2</v>
      </c>
      <c r="C114" s="4">
        <f t="shared" ref="C114:R115" si="32">AVERAGEIFS(C$22:C$39,$J$86:$J$103, "C6")</f>
        <v>2</v>
      </c>
      <c r="D114" s="4">
        <f t="shared" si="32"/>
        <v>2</v>
      </c>
      <c r="E114" s="4">
        <f t="shared" si="32"/>
        <v>2</v>
      </c>
      <c r="F114" s="4">
        <f t="shared" si="32"/>
        <v>2</v>
      </c>
      <c r="G114" s="4">
        <f t="shared" si="32"/>
        <v>2.25</v>
      </c>
      <c r="H114" s="4">
        <f t="shared" si="32"/>
        <v>2.5</v>
      </c>
      <c r="I114" s="4">
        <f t="shared" si="32"/>
        <v>2</v>
      </c>
      <c r="J114" s="4">
        <f t="shared" si="32"/>
        <v>2</v>
      </c>
      <c r="K114" s="4">
        <f t="shared" si="32"/>
        <v>2</v>
      </c>
      <c r="L114" s="4">
        <f t="shared" si="32"/>
        <v>2.25</v>
      </c>
      <c r="M114" s="4">
        <f t="shared" si="32"/>
        <v>2.25</v>
      </c>
      <c r="N114" s="4">
        <f t="shared" si="32"/>
        <v>2.25</v>
      </c>
      <c r="O114" s="4">
        <f t="shared" si="32"/>
        <v>2</v>
      </c>
      <c r="P114" s="4">
        <f t="shared" si="32"/>
        <v>2.25</v>
      </c>
      <c r="Q114" s="4">
        <f t="shared" si="32"/>
        <v>2</v>
      </c>
      <c r="R114" s="4">
        <f t="shared" si="32"/>
        <v>2</v>
      </c>
    </row>
    <row r="115" spans="1:18" x14ac:dyDescent="0.35">
      <c r="A115" s="4" t="s">
        <v>184</v>
      </c>
      <c r="B115" s="4">
        <f>AVERAGEIFS(B$22:B$39,$J$86:$J$103, "C6")</f>
        <v>2</v>
      </c>
      <c r="C115" s="4">
        <f t="shared" si="32"/>
        <v>2</v>
      </c>
      <c r="D115" s="4">
        <f t="shared" si="32"/>
        <v>2</v>
      </c>
      <c r="E115" s="4">
        <f t="shared" si="32"/>
        <v>2</v>
      </c>
      <c r="F115" s="4">
        <f t="shared" si="32"/>
        <v>2</v>
      </c>
      <c r="G115" s="4">
        <f t="shared" si="32"/>
        <v>2.25</v>
      </c>
      <c r="H115" s="4">
        <f t="shared" si="32"/>
        <v>2.5</v>
      </c>
      <c r="I115" s="4">
        <f t="shared" si="32"/>
        <v>2</v>
      </c>
      <c r="J115" s="4">
        <f t="shared" si="32"/>
        <v>2</v>
      </c>
      <c r="K115" s="4">
        <f t="shared" si="32"/>
        <v>2</v>
      </c>
      <c r="L115" s="4">
        <f t="shared" si="32"/>
        <v>2.25</v>
      </c>
      <c r="M115" s="4">
        <f t="shared" si="32"/>
        <v>2.25</v>
      </c>
      <c r="N115" s="4">
        <f t="shared" si="32"/>
        <v>2.25</v>
      </c>
      <c r="O115" s="4">
        <f t="shared" si="32"/>
        <v>2</v>
      </c>
      <c r="P115" s="4">
        <f t="shared" si="32"/>
        <v>2.25</v>
      </c>
      <c r="Q115" s="4">
        <f t="shared" si="32"/>
        <v>2</v>
      </c>
      <c r="R115" s="4">
        <f t="shared" si="32"/>
        <v>2</v>
      </c>
    </row>
    <row r="116" spans="1:18" x14ac:dyDescent="0.35">
      <c r="A116" s="4" t="s">
        <v>185</v>
      </c>
      <c r="B116" s="4">
        <f>AVERAGEIFS(B$22:B$39,$J$86:$J$103, "C7")</f>
        <v>2</v>
      </c>
      <c r="C116" s="4">
        <f t="shared" ref="C116:R116" si="33">AVERAGEIFS(C$22:C$39,$J$86:$J$103, "C7")</f>
        <v>3</v>
      </c>
      <c r="D116" s="4">
        <f t="shared" si="33"/>
        <v>3</v>
      </c>
      <c r="E116" s="4">
        <f t="shared" si="33"/>
        <v>2</v>
      </c>
      <c r="F116" s="4">
        <f t="shared" si="33"/>
        <v>3</v>
      </c>
      <c r="G116" s="4">
        <f t="shared" si="33"/>
        <v>2</v>
      </c>
      <c r="H116" s="4">
        <f t="shared" si="33"/>
        <v>2</v>
      </c>
      <c r="I116" s="4">
        <f t="shared" si="33"/>
        <v>2</v>
      </c>
      <c r="J116" s="4">
        <f t="shared" si="33"/>
        <v>3</v>
      </c>
      <c r="K116" s="4">
        <f t="shared" si="33"/>
        <v>2</v>
      </c>
      <c r="L116" s="4">
        <f t="shared" si="33"/>
        <v>2</v>
      </c>
      <c r="M116" s="4">
        <f t="shared" si="33"/>
        <v>3</v>
      </c>
      <c r="N116" s="4">
        <f t="shared" si="33"/>
        <v>2</v>
      </c>
      <c r="O116" s="4">
        <f t="shared" si="33"/>
        <v>3</v>
      </c>
      <c r="P116" s="4">
        <f t="shared" si="33"/>
        <v>3</v>
      </c>
      <c r="Q116" s="4">
        <f t="shared" si="33"/>
        <v>2</v>
      </c>
      <c r="R116" s="4">
        <f t="shared" si="33"/>
        <v>2</v>
      </c>
    </row>
    <row r="120" spans="1:18" x14ac:dyDescent="0.35">
      <c r="A120" s="45" t="s">
        <v>106</v>
      </c>
      <c r="B120" s="45" t="s">
        <v>49</v>
      </c>
      <c r="C120" s="45" t="s">
        <v>53</v>
      </c>
      <c r="D120" s="45" t="s">
        <v>58</v>
      </c>
      <c r="E120" s="45" t="s">
        <v>59</v>
      </c>
      <c r="F120" s="45" t="s">
        <v>88</v>
      </c>
      <c r="G120" s="45" t="s">
        <v>184</v>
      </c>
      <c r="H120" s="45" t="s">
        <v>185</v>
      </c>
      <c r="I120" s="42" t="s">
        <v>86</v>
      </c>
      <c r="J120" s="42" t="s">
        <v>87</v>
      </c>
      <c r="K120" s="42" t="s">
        <v>104</v>
      </c>
      <c r="L120" s="42" t="s">
        <v>191</v>
      </c>
    </row>
    <row r="121" spans="1:18" x14ac:dyDescent="0.35">
      <c r="A121" s="14" t="s">
        <v>130</v>
      </c>
      <c r="B121" s="4">
        <f>SQRT(SUMXMY2(B22:R22, $B$110:$R$110))</f>
        <v>1.0307764064044151</v>
      </c>
      <c r="C121" s="4">
        <f>SQRT(SUMXMY2(B22:R22, $B$111:$R$111))</f>
        <v>2.8284271247461903</v>
      </c>
      <c r="D121" s="4">
        <f>SQRT(SUMXMY2(B22:R22, $B$112:$R$112))</f>
        <v>2.1343747458109492</v>
      </c>
      <c r="E121" s="4">
        <f>SQRT(SUMXMY2(B22:R22, $B$113:$R$113))</f>
        <v>3.082207001484488</v>
      </c>
      <c r="F121" s="4">
        <f>SQRT(SUMXMY2(B22:R22, $B$114:$R$114))</f>
        <v>2.3584952830141508</v>
      </c>
      <c r="G121" s="4">
        <f>SQRT(SUMXMY2(B22:R22, $B$115:$R$115))</f>
        <v>2.3584952830141508</v>
      </c>
      <c r="H121" s="4">
        <f>SQRT(SUMXMY2(B22:R22, $B$116:$R$116))</f>
        <v>3.6055512754639891</v>
      </c>
      <c r="I121" s="4">
        <f>MIN(B121:H121)</f>
        <v>1.0307764064044151</v>
      </c>
      <c r="J121" s="4" t="str">
        <f>"C"&amp;MATCH(I121,B121:H121,0)</f>
        <v>C1</v>
      </c>
      <c r="K121" s="14">
        <f>I121^2</f>
        <v>1.0625</v>
      </c>
      <c r="L121" s="14">
        <f>SUM(K121:K138)</f>
        <v>23.833333333333336</v>
      </c>
    </row>
    <row r="122" spans="1:18" x14ac:dyDescent="0.35">
      <c r="A122" s="14" t="s">
        <v>134</v>
      </c>
      <c r="B122" s="4">
        <f t="shared" ref="B122:B138" si="34">SQRT(SUMXMY2(B23:R23, $B$110:$R$110))</f>
        <v>2.5617376914898995</v>
      </c>
      <c r="C122" s="4">
        <f t="shared" ref="C122:C138" si="35">SQRT(SUMXMY2(B23:R23, $B$111:$R$111))</f>
        <v>0</v>
      </c>
      <c r="D122" s="4">
        <f t="shared" ref="D122:D138" si="36">SQRT(SUMXMY2(B23:R23, $B$112:$R$112))</f>
        <v>2.9249881291307074</v>
      </c>
      <c r="E122" s="4">
        <f t="shared" ref="E122:E138" si="37">SQRT(SUMXMY2(B23:R23, $B$113:$R$113))</f>
        <v>1.8708286933869707</v>
      </c>
      <c r="F122" s="4">
        <f t="shared" ref="F122:F138" si="38">SQRT(SUMXMY2(B23:R23, $B$114:$R$114))</f>
        <v>2.75</v>
      </c>
      <c r="G122" s="4">
        <f t="shared" ref="G122:G138" si="39">SQRT(SUMXMY2(B23:R23, $B$115:$R$115))</f>
        <v>2.75</v>
      </c>
      <c r="H122" s="4">
        <f t="shared" ref="H122:H138" si="40">SQRT(SUMXMY2(B23:R23, $B$116:$R$116))</f>
        <v>2.2360679774997898</v>
      </c>
      <c r="I122" s="4">
        <f t="shared" ref="I122:I138" si="41">MIN(B122:H122)</f>
        <v>0</v>
      </c>
      <c r="J122" s="4" t="str">
        <f t="shared" ref="J122:J138" si="42">"C"&amp;MATCH(I122,B122:H122,0)</f>
        <v>C2</v>
      </c>
      <c r="K122" s="14">
        <f t="shared" ref="K122:K138" si="43">I122^2</f>
        <v>0</v>
      </c>
    </row>
    <row r="123" spans="1:18" x14ac:dyDescent="0.35">
      <c r="A123" s="14" t="s">
        <v>137</v>
      </c>
      <c r="B123" s="4">
        <f t="shared" si="34"/>
        <v>2.5617376914898995</v>
      </c>
      <c r="C123" s="4">
        <f t="shared" si="35"/>
        <v>3.3166247903553998</v>
      </c>
      <c r="D123" s="4">
        <f t="shared" si="36"/>
        <v>0.94280904158206369</v>
      </c>
      <c r="E123" s="4">
        <f t="shared" si="37"/>
        <v>2.6457513110645907</v>
      </c>
      <c r="F123" s="4">
        <f t="shared" si="38"/>
        <v>1.8874586088176875</v>
      </c>
      <c r="G123" s="4">
        <f t="shared" si="39"/>
        <v>1.8874586088176875</v>
      </c>
      <c r="H123" s="4">
        <f t="shared" si="40"/>
        <v>3.1622776601683795</v>
      </c>
      <c r="I123" s="4">
        <f t="shared" si="41"/>
        <v>0.94280904158206369</v>
      </c>
      <c r="J123" s="4" t="str">
        <f t="shared" si="42"/>
        <v>C3</v>
      </c>
      <c r="K123" s="14">
        <f t="shared" si="43"/>
        <v>0.88888888888888951</v>
      </c>
    </row>
    <row r="124" spans="1:18" x14ac:dyDescent="0.35">
      <c r="A124" s="14" t="s">
        <v>140</v>
      </c>
      <c r="B124" s="4">
        <f t="shared" si="34"/>
        <v>3.0103986446980739</v>
      </c>
      <c r="C124" s="4">
        <f t="shared" si="35"/>
        <v>2</v>
      </c>
      <c r="D124" s="4">
        <f t="shared" si="36"/>
        <v>2.8087165910587863</v>
      </c>
      <c r="E124" s="4">
        <f t="shared" si="37"/>
        <v>0.70710678118654757</v>
      </c>
      <c r="F124" s="4">
        <f t="shared" si="38"/>
        <v>2.25</v>
      </c>
      <c r="G124" s="4">
        <f t="shared" si="39"/>
        <v>2.25</v>
      </c>
      <c r="H124" s="4">
        <f t="shared" si="40"/>
        <v>1.7320508075688772</v>
      </c>
      <c r="I124" s="4">
        <f t="shared" si="41"/>
        <v>0.70710678118654757</v>
      </c>
      <c r="J124" s="4" t="str">
        <f t="shared" si="42"/>
        <v>C4</v>
      </c>
      <c r="K124" s="14">
        <f t="shared" si="43"/>
        <v>0.50000000000000011</v>
      </c>
    </row>
    <row r="125" spans="1:18" x14ac:dyDescent="0.35">
      <c r="A125" s="14" t="s">
        <v>143</v>
      </c>
      <c r="B125" s="4">
        <f t="shared" si="34"/>
        <v>2.8394541729001368</v>
      </c>
      <c r="C125" s="4">
        <f t="shared" si="35"/>
        <v>2.4494897427831779</v>
      </c>
      <c r="D125" s="4">
        <f t="shared" si="36"/>
        <v>2.6874192494328502</v>
      </c>
      <c r="E125" s="4">
        <f t="shared" si="37"/>
        <v>2.3452078799117149</v>
      </c>
      <c r="F125" s="4">
        <f t="shared" si="38"/>
        <v>2.25</v>
      </c>
      <c r="G125" s="4">
        <f t="shared" si="39"/>
        <v>2.25</v>
      </c>
      <c r="H125" s="4">
        <f t="shared" si="40"/>
        <v>2.2360679774997898</v>
      </c>
      <c r="I125" s="4">
        <f t="shared" si="41"/>
        <v>2.2360679774997898</v>
      </c>
      <c r="J125" s="4" t="str">
        <f t="shared" si="42"/>
        <v>C7</v>
      </c>
      <c r="K125" s="14">
        <f t="shared" si="43"/>
        <v>5.0000000000000009</v>
      </c>
    </row>
    <row r="126" spans="1:18" x14ac:dyDescent="0.35">
      <c r="A126" s="14" t="s">
        <v>146</v>
      </c>
      <c r="B126" s="4">
        <f t="shared" si="34"/>
        <v>2.5617376914898995</v>
      </c>
      <c r="C126" s="4">
        <f t="shared" si="35"/>
        <v>2.8284271247461903</v>
      </c>
      <c r="D126" s="4">
        <f t="shared" si="36"/>
        <v>2.1343747458109497</v>
      </c>
      <c r="E126" s="4">
        <f t="shared" si="37"/>
        <v>2.3452078799117149</v>
      </c>
      <c r="F126" s="4">
        <f t="shared" si="38"/>
        <v>1.0307764064044151</v>
      </c>
      <c r="G126" s="4">
        <f t="shared" si="39"/>
        <v>1.0307764064044151</v>
      </c>
      <c r="H126" s="4">
        <f t="shared" si="40"/>
        <v>2.6457513110645907</v>
      </c>
      <c r="I126" s="4">
        <f t="shared" si="41"/>
        <v>1.0307764064044151</v>
      </c>
      <c r="J126" s="4" t="str">
        <f t="shared" si="42"/>
        <v>C5</v>
      </c>
      <c r="K126" s="14">
        <f t="shared" si="43"/>
        <v>1.0625</v>
      </c>
    </row>
    <row r="127" spans="1:18" x14ac:dyDescent="0.35">
      <c r="A127" s="14" t="s">
        <v>149</v>
      </c>
      <c r="B127" s="4">
        <f t="shared" si="34"/>
        <v>3.1721443851123801</v>
      </c>
      <c r="C127" s="4">
        <f t="shared" si="35"/>
        <v>2.2360679774997898</v>
      </c>
      <c r="D127" s="4">
        <f t="shared" si="36"/>
        <v>2.9814239699997196</v>
      </c>
      <c r="E127" s="4">
        <f t="shared" si="37"/>
        <v>1.5811388300841898</v>
      </c>
      <c r="F127" s="4">
        <f t="shared" si="38"/>
        <v>2.5617376914898995</v>
      </c>
      <c r="G127" s="4">
        <f t="shared" si="39"/>
        <v>2.5617376914898995</v>
      </c>
      <c r="H127" s="4">
        <f t="shared" si="40"/>
        <v>0</v>
      </c>
      <c r="I127" s="4">
        <f t="shared" si="41"/>
        <v>0</v>
      </c>
      <c r="J127" s="4" t="str">
        <f t="shared" si="42"/>
        <v>C7</v>
      </c>
      <c r="K127" s="14">
        <f t="shared" si="43"/>
        <v>0</v>
      </c>
    </row>
    <row r="128" spans="1:18" x14ac:dyDescent="0.35">
      <c r="A128" s="14" t="s">
        <v>151</v>
      </c>
      <c r="B128" s="4">
        <f t="shared" si="34"/>
        <v>1.8874586088176875</v>
      </c>
      <c r="C128" s="4">
        <f t="shared" si="35"/>
        <v>2.8284271247461903</v>
      </c>
      <c r="D128" s="4">
        <f t="shared" si="36"/>
        <v>1.3743685418725535</v>
      </c>
      <c r="E128" s="4">
        <f t="shared" si="37"/>
        <v>3.1622776601683795</v>
      </c>
      <c r="F128" s="4">
        <f t="shared" si="38"/>
        <v>2.5617376914898995</v>
      </c>
      <c r="G128" s="4">
        <f t="shared" si="39"/>
        <v>2.5617376914898995</v>
      </c>
      <c r="H128" s="4">
        <f t="shared" si="40"/>
        <v>3.6055512754639891</v>
      </c>
      <c r="I128" s="4">
        <f t="shared" si="41"/>
        <v>1.3743685418725535</v>
      </c>
      <c r="J128" s="4" t="str">
        <f t="shared" si="42"/>
        <v>C3</v>
      </c>
      <c r="K128" s="14">
        <f t="shared" si="43"/>
        <v>1.8888888888888888</v>
      </c>
    </row>
    <row r="129" spans="1:11" x14ac:dyDescent="0.35">
      <c r="A129" s="14" t="s">
        <v>154</v>
      </c>
      <c r="B129" s="4">
        <f t="shared" si="34"/>
        <v>2.5617376914898995</v>
      </c>
      <c r="C129" s="4">
        <f t="shared" si="35"/>
        <v>3.4641016151377544</v>
      </c>
      <c r="D129" s="4">
        <f t="shared" si="36"/>
        <v>1.5986105077709063</v>
      </c>
      <c r="E129" s="4">
        <f t="shared" si="37"/>
        <v>2.8284271247461903</v>
      </c>
      <c r="F129" s="4">
        <f t="shared" si="38"/>
        <v>1.8874586088176875</v>
      </c>
      <c r="G129" s="4">
        <f t="shared" si="39"/>
        <v>1.8874586088176875</v>
      </c>
      <c r="H129" s="4">
        <f t="shared" si="40"/>
        <v>3</v>
      </c>
      <c r="I129" s="4">
        <f t="shared" si="41"/>
        <v>1.5986105077709063</v>
      </c>
      <c r="J129" s="4" t="str">
        <f t="shared" si="42"/>
        <v>C3</v>
      </c>
      <c r="K129" s="14">
        <f t="shared" si="43"/>
        <v>2.5555555555555549</v>
      </c>
    </row>
    <row r="130" spans="1:11" x14ac:dyDescent="0.35">
      <c r="A130" s="14" t="s">
        <v>157</v>
      </c>
      <c r="B130" s="4">
        <f t="shared" si="34"/>
        <v>1.0307764064044151</v>
      </c>
      <c r="C130" s="4">
        <f t="shared" si="35"/>
        <v>3</v>
      </c>
      <c r="D130" s="4">
        <f t="shared" si="36"/>
        <v>2.3570226039551585</v>
      </c>
      <c r="E130" s="4">
        <f t="shared" si="37"/>
        <v>3.2403703492039302</v>
      </c>
      <c r="F130" s="4">
        <f t="shared" si="38"/>
        <v>2.5617376914898995</v>
      </c>
      <c r="G130" s="4">
        <f t="shared" si="39"/>
        <v>2.5617376914898995</v>
      </c>
      <c r="H130" s="4">
        <f t="shared" si="40"/>
        <v>3.4641016151377544</v>
      </c>
      <c r="I130" s="4">
        <f t="shared" si="41"/>
        <v>1.0307764064044151</v>
      </c>
      <c r="J130" s="4" t="str">
        <f t="shared" si="42"/>
        <v>C1</v>
      </c>
      <c r="K130" s="14">
        <f t="shared" si="43"/>
        <v>1.0625</v>
      </c>
    </row>
    <row r="131" spans="1:11" x14ac:dyDescent="0.35">
      <c r="A131" s="14" t="s">
        <v>160</v>
      </c>
      <c r="B131" s="4">
        <f t="shared" si="34"/>
        <v>2.9261749776799064</v>
      </c>
      <c r="C131" s="4">
        <f t="shared" si="35"/>
        <v>2.2360679774997898</v>
      </c>
      <c r="D131" s="4">
        <f t="shared" si="36"/>
        <v>2.9814239699997196</v>
      </c>
      <c r="E131" s="4">
        <f t="shared" si="37"/>
        <v>1</v>
      </c>
      <c r="F131" s="4">
        <f t="shared" si="38"/>
        <v>2.3584952830141508</v>
      </c>
      <c r="G131" s="4">
        <f t="shared" si="39"/>
        <v>2.3584952830141508</v>
      </c>
      <c r="H131" s="4">
        <f t="shared" si="40"/>
        <v>2</v>
      </c>
      <c r="I131" s="4">
        <f t="shared" si="41"/>
        <v>1</v>
      </c>
      <c r="J131" s="4" t="str">
        <f t="shared" si="42"/>
        <v>C4</v>
      </c>
      <c r="K131" s="14">
        <f t="shared" si="43"/>
        <v>1</v>
      </c>
    </row>
    <row r="132" spans="1:11" x14ac:dyDescent="0.35">
      <c r="A132" s="14" t="s">
        <v>163</v>
      </c>
      <c r="B132" s="4">
        <f t="shared" si="34"/>
        <v>3.0923292192132452</v>
      </c>
      <c r="C132" s="4">
        <f t="shared" si="35"/>
        <v>1.7320508075688772</v>
      </c>
      <c r="D132" s="4">
        <f t="shared" si="36"/>
        <v>2.7487370837451071</v>
      </c>
      <c r="E132" s="4">
        <f t="shared" si="37"/>
        <v>0.70710678118654757</v>
      </c>
      <c r="F132" s="4">
        <f t="shared" si="38"/>
        <v>2.1360009363293826</v>
      </c>
      <c r="G132" s="4">
        <f t="shared" si="39"/>
        <v>2.1360009363293826</v>
      </c>
      <c r="H132" s="4">
        <f t="shared" si="40"/>
        <v>1.4142135623730951</v>
      </c>
      <c r="I132" s="4">
        <f t="shared" si="41"/>
        <v>0.70710678118654757</v>
      </c>
      <c r="J132" s="4" t="str">
        <f t="shared" si="42"/>
        <v>C4</v>
      </c>
      <c r="K132" s="14">
        <f t="shared" si="43"/>
        <v>0.50000000000000011</v>
      </c>
    </row>
    <row r="133" spans="1:11" x14ac:dyDescent="0.35">
      <c r="A133" s="14" t="s">
        <v>166</v>
      </c>
      <c r="B133" s="4">
        <f t="shared" si="34"/>
        <v>2.1360009363293826</v>
      </c>
      <c r="C133" s="4">
        <f t="shared" si="35"/>
        <v>2.8284271247461903</v>
      </c>
      <c r="D133" s="4">
        <f t="shared" si="36"/>
        <v>1.5986105077709065</v>
      </c>
      <c r="E133" s="4">
        <f t="shared" si="37"/>
        <v>2.3452078799117149</v>
      </c>
      <c r="F133" s="4">
        <f t="shared" si="38"/>
        <v>0.75</v>
      </c>
      <c r="G133" s="4">
        <f t="shared" si="39"/>
        <v>0.75</v>
      </c>
      <c r="H133" s="4">
        <f t="shared" si="40"/>
        <v>2.6457513110645907</v>
      </c>
      <c r="I133" s="4">
        <f t="shared" si="41"/>
        <v>0.75</v>
      </c>
      <c r="J133" s="4" t="str">
        <f t="shared" si="42"/>
        <v>C5</v>
      </c>
      <c r="K133" s="14">
        <f t="shared" si="43"/>
        <v>0.5625</v>
      </c>
    </row>
    <row r="134" spans="1:11" x14ac:dyDescent="0.35">
      <c r="A134" s="14" t="s">
        <v>169</v>
      </c>
      <c r="B134" s="4">
        <f t="shared" si="34"/>
        <v>2.5617376914898995</v>
      </c>
      <c r="C134" s="4">
        <f t="shared" si="35"/>
        <v>3.3166247903553998</v>
      </c>
      <c r="D134" s="4">
        <f t="shared" si="36"/>
        <v>2.4944382578492941</v>
      </c>
      <c r="E134" s="4">
        <f t="shared" si="37"/>
        <v>2.6457513110645907</v>
      </c>
      <c r="F134" s="4">
        <f t="shared" si="38"/>
        <v>1.6007810593582121</v>
      </c>
      <c r="G134" s="4">
        <f t="shared" si="39"/>
        <v>1.6007810593582121</v>
      </c>
      <c r="H134" s="4">
        <f t="shared" si="40"/>
        <v>3.1622776601683795</v>
      </c>
      <c r="I134" s="4">
        <f t="shared" si="41"/>
        <v>1.6007810593582121</v>
      </c>
      <c r="J134" s="4" t="str">
        <f t="shared" si="42"/>
        <v>C5</v>
      </c>
      <c r="K134" s="14">
        <f t="shared" si="43"/>
        <v>2.5625</v>
      </c>
    </row>
    <row r="135" spans="1:11" x14ac:dyDescent="0.35">
      <c r="A135" s="14" t="s">
        <v>172</v>
      </c>
      <c r="B135" s="4">
        <f t="shared" si="34"/>
        <v>1.4361406616345072</v>
      </c>
      <c r="C135" s="4">
        <f t="shared" si="35"/>
        <v>2.6457513110645907</v>
      </c>
      <c r="D135" s="4">
        <f t="shared" si="36"/>
        <v>2.2110831935702664</v>
      </c>
      <c r="E135" s="4">
        <f t="shared" si="37"/>
        <v>3.2403703492039302</v>
      </c>
      <c r="F135" s="4">
        <f t="shared" si="38"/>
        <v>2.3584952830141508</v>
      </c>
      <c r="G135" s="4">
        <f t="shared" si="39"/>
        <v>2.3584952830141508</v>
      </c>
      <c r="H135" s="4">
        <f t="shared" si="40"/>
        <v>2.8284271247461903</v>
      </c>
      <c r="I135" s="4">
        <f t="shared" si="41"/>
        <v>1.4361406616345072</v>
      </c>
      <c r="J135" s="4" t="str">
        <f t="shared" si="42"/>
        <v>C1</v>
      </c>
      <c r="K135" s="14">
        <f t="shared" si="43"/>
        <v>2.0625</v>
      </c>
    </row>
    <row r="136" spans="1:11" x14ac:dyDescent="0.35">
      <c r="A136" s="14" t="s">
        <v>175</v>
      </c>
      <c r="B136" s="4">
        <f t="shared" si="34"/>
        <v>3.400367627183861</v>
      </c>
      <c r="C136" s="4">
        <f t="shared" si="35"/>
        <v>2.4494897427831779</v>
      </c>
      <c r="D136" s="4">
        <f t="shared" si="36"/>
        <v>2.4267032964268398</v>
      </c>
      <c r="E136" s="4">
        <f t="shared" si="37"/>
        <v>1.4142135623730951</v>
      </c>
      <c r="F136" s="4">
        <f t="shared" si="38"/>
        <v>2.75</v>
      </c>
      <c r="G136" s="4">
        <f t="shared" si="39"/>
        <v>2.75</v>
      </c>
      <c r="H136" s="4">
        <f t="shared" si="40"/>
        <v>2.2360679774997898</v>
      </c>
      <c r="I136" s="4">
        <f t="shared" si="41"/>
        <v>1.4142135623730951</v>
      </c>
      <c r="J136" s="4" t="str">
        <f t="shared" si="42"/>
        <v>C4</v>
      </c>
      <c r="K136" s="14">
        <f t="shared" si="43"/>
        <v>2.0000000000000004</v>
      </c>
    </row>
    <row r="137" spans="1:11" x14ac:dyDescent="0.35">
      <c r="A137" s="14" t="s">
        <v>178</v>
      </c>
      <c r="B137" s="4">
        <f t="shared" si="34"/>
        <v>0.75</v>
      </c>
      <c r="C137" s="4">
        <f t="shared" si="35"/>
        <v>2.6457513110645907</v>
      </c>
      <c r="D137" s="4">
        <f t="shared" si="36"/>
        <v>2.2110831935702664</v>
      </c>
      <c r="E137" s="4">
        <f t="shared" si="37"/>
        <v>3</v>
      </c>
      <c r="F137" s="4">
        <f t="shared" si="38"/>
        <v>2.1360009363293826</v>
      </c>
      <c r="G137" s="4">
        <f t="shared" si="39"/>
        <v>2.1360009363293826</v>
      </c>
      <c r="H137" s="4">
        <f t="shared" si="40"/>
        <v>3.4641016151377544</v>
      </c>
      <c r="I137" s="4">
        <f t="shared" si="41"/>
        <v>0.75</v>
      </c>
      <c r="J137" s="4" t="str">
        <f t="shared" si="42"/>
        <v>C1</v>
      </c>
      <c r="K137" s="14">
        <f t="shared" si="43"/>
        <v>0.5625</v>
      </c>
    </row>
    <row r="138" spans="1:11" x14ac:dyDescent="0.35">
      <c r="A138" s="14" t="s">
        <v>181</v>
      </c>
      <c r="B138" s="4">
        <f t="shared" si="34"/>
        <v>2.1360009363293826</v>
      </c>
      <c r="C138" s="4">
        <f t="shared" si="35"/>
        <v>2.8284271247461903</v>
      </c>
      <c r="D138" s="4">
        <f t="shared" si="36"/>
        <v>1.5986105077709065</v>
      </c>
      <c r="E138" s="4">
        <f t="shared" si="37"/>
        <v>2.3452078799117149</v>
      </c>
      <c r="F138" s="4">
        <f t="shared" si="38"/>
        <v>0.75</v>
      </c>
      <c r="G138" s="4">
        <f t="shared" si="39"/>
        <v>0.75</v>
      </c>
      <c r="H138" s="4">
        <f t="shared" si="40"/>
        <v>2.6457513110645907</v>
      </c>
      <c r="I138" s="4">
        <f t="shared" si="41"/>
        <v>0.75</v>
      </c>
      <c r="J138" s="4" t="str">
        <f t="shared" si="42"/>
        <v>C5</v>
      </c>
      <c r="K138" s="14">
        <f t="shared" si="43"/>
        <v>0.5625</v>
      </c>
    </row>
  </sheetData>
  <mergeCells count="19">
    <mergeCell ref="N61:N64"/>
    <mergeCell ref="O61:O64"/>
    <mergeCell ref="A41:R41"/>
    <mergeCell ref="N53:N56"/>
    <mergeCell ref="O53:O56"/>
    <mergeCell ref="N58:N60"/>
    <mergeCell ref="O58:O60"/>
    <mergeCell ref="O86:O89"/>
    <mergeCell ref="P86:P89"/>
    <mergeCell ref="N66:N69"/>
    <mergeCell ref="O66:O69"/>
    <mergeCell ref="A74:R74"/>
    <mergeCell ref="A108:R108"/>
    <mergeCell ref="O91:O93"/>
    <mergeCell ref="P91:P93"/>
    <mergeCell ref="O94:O97"/>
    <mergeCell ref="P94:P97"/>
    <mergeCell ref="O99:O102"/>
    <mergeCell ref="P99:P10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61A38-EFE0-4388-A043-19A4FC03E48C}">
  <dimension ref="A1:X130"/>
  <sheetViews>
    <sheetView topLeftCell="T53" zoomScale="74" zoomScaleNormal="55" workbookViewId="0">
      <selection activeCell="R113" sqref="R113"/>
    </sheetView>
  </sheetViews>
  <sheetFormatPr defaultRowHeight="14.5" x14ac:dyDescent="0.35"/>
  <cols>
    <col min="1" max="1" width="7.81640625" customWidth="1"/>
    <col min="2" max="2" width="8.81640625" bestFit="1" customWidth="1"/>
    <col min="3" max="3" width="15" bestFit="1" customWidth="1"/>
    <col min="4" max="13" width="10.26953125" bestFit="1" customWidth="1"/>
    <col min="14" max="14" width="13.7265625" customWidth="1"/>
    <col min="15" max="15" width="17.36328125" customWidth="1"/>
    <col min="16" max="16" width="18.6328125" customWidth="1"/>
    <col min="17" max="17" width="13.08984375" customWidth="1"/>
    <col min="18" max="18" width="31.81640625" customWidth="1"/>
    <col min="19" max="23" width="8.81640625" bestFit="1" customWidth="1"/>
  </cols>
  <sheetData>
    <row r="1" spans="1:24" x14ac:dyDescent="0.35">
      <c r="A1" s="45" t="s">
        <v>105</v>
      </c>
      <c r="B1" s="45" t="s">
        <v>106</v>
      </c>
      <c r="C1" s="45" t="s">
        <v>107</v>
      </c>
      <c r="D1" s="45" t="s">
        <v>108</v>
      </c>
      <c r="E1" s="45" t="s">
        <v>110</v>
      </c>
      <c r="F1" s="45" t="s">
        <v>111</v>
      </c>
      <c r="G1" s="45" t="s">
        <v>112</v>
      </c>
      <c r="H1" s="45" t="s">
        <v>113</v>
      </c>
      <c r="I1" s="45" t="s">
        <v>114</v>
      </c>
      <c r="J1" s="45" t="s">
        <v>115</v>
      </c>
      <c r="K1" s="45" t="s">
        <v>116</v>
      </c>
      <c r="L1" s="45" t="s">
        <v>117</v>
      </c>
      <c r="M1" s="45" t="s">
        <v>118</v>
      </c>
      <c r="N1" s="45" t="s">
        <v>119</v>
      </c>
      <c r="O1" s="45" t="s">
        <v>120</v>
      </c>
      <c r="P1" s="45" t="s">
        <v>121</v>
      </c>
      <c r="Q1" s="45" t="s">
        <v>122</v>
      </c>
      <c r="R1" s="45" t="s">
        <v>123</v>
      </c>
      <c r="S1" s="45" t="s">
        <v>124</v>
      </c>
      <c r="T1" s="45" t="s">
        <v>125</v>
      </c>
      <c r="U1" s="45" t="s">
        <v>126</v>
      </c>
      <c r="V1" s="45" t="s">
        <v>127</v>
      </c>
      <c r="W1" s="45" t="s">
        <v>128</v>
      </c>
      <c r="X1" s="45" t="s">
        <v>129</v>
      </c>
    </row>
    <row r="2" spans="1:24" x14ac:dyDescent="0.35">
      <c r="A2" s="44">
        <v>46050.262193344897</v>
      </c>
      <c r="B2" s="14" t="s">
        <v>130</v>
      </c>
      <c r="C2" s="14" t="s">
        <v>131</v>
      </c>
      <c r="D2" s="14">
        <v>3.8</v>
      </c>
      <c r="E2" s="14">
        <v>3</v>
      </c>
      <c r="F2" s="14">
        <v>2</v>
      </c>
      <c r="G2" s="14">
        <v>2</v>
      </c>
      <c r="H2" s="14">
        <v>2</v>
      </c>
      <c r="I2" s="14">
        <v>2</v>
      </c>
      <c r="J2" s="14">
        <v>3</v>
      </c>
      <c r="K2" s="14">
        <v>2</v>
      </c>
      <c r="L2" s="14">
        <v>3</v>
      </c>
      <c r="M2" s="14">
        <v>2</v>
      </c>
      <c r="N2" s="14">
        <v>3</v>
      </c>
      <c r="O2" s="14">
        <v>3</v>
      </c>
      <c r="P2" s="14">
        <v>2</v>
      </c>
      <c r="Q2" s="14">
        <v>2</v>
      </c>
      <c r="R2" s="14">
        <v>120</v>
      </c>
      <c r="S2" s="14">
        <v>2</v>
      </c>
      <c r="T2" s="14">
        <v>2</v>
      </c>
      <c r="U2" s="14">
        <v>3</v>
      </c>
      <c r="V2" s="14">
        <v>2</v>
      </c>
      <c r="W2" s="14" t="s">
        <v>132</v>
      </c>
      <c r="X2" s="14" t="s">
        <v>133</v>
      </c>
    </row>
    <row r="3" spans="1:24" x14ac:dyDescent="0.35">
      <c r="A3" s="44">
        <v>46050.26299427083</v>
      </c>
      <c r="B3" s="14" t="s">
        <v>134</v>
      </c>
      <c r="C3" s="14" t="s">
        <v>135</v>
      </c>
      <c r="D3" s="14">
        <v>3.7</v>
      </c>
      <c r="E3" s="14">
        <v>3</v>
      </c>
      <c r="F3" s="14">
        <v>2</v>
      </c>
      <c r="G3" s="14">
        <v>3</v>
      </c>
      <c r="H3" s="14">
        <v>2</v>
      </c>
      <c r="I3" s="14">
        <v>3</v>
      </c>
      <c r="J3" s="14">
        <v>2</v>
      </c>
      <c r="K3" s="14">
        <v>2</v>
      </c>
      <c r="L3" s="14">
        <v>3</v>
      </c>
      <c r="M3" s="14">
        <v>2</v>
      </c>
      <c r="N3" s="14">
        <v>2</v>
      </c>
      <c r="O3" s="14">
        <v>2</v>
      </c>
      <c r="P3" s="14">
        <v>3</v>
      </c>
      <c r="Q3" s="14">
        <v>2</v>
      </c>
      <c r="R3" s="14">
        <v>120</v>
      </c>
      <c r="S3" s="14">
        <v>3</v>
      </c>
      <c r="T3" s="14">
        <v>3</v>
      </c>
      <c r="U3" s="14">
        <v>3</v>
      </c>
      <c r="V3" s="14">
        <v>2</v>
      </c>
      <c r="W3" s="14" t="s">
        <v>136</v>
      </c>
      <c r="X3" s="14" t="s">
        <v>133</v>
      </c>
    </row>
    <row r="4" spans="1:24" x14ac:dyDescent="0.35">
      <c r="A4" s="44">
        <v>46050.283431493059</v>
      </c>
      <c r="B4" s="14" t="s">
        <v>137</v>
      </c>
      <c r="C4" s="14" t="s">
        <v>138</v>
      </c>
      <c r="D4" s="14">
        <v>3.8</v>
      </c>
      <c r="E4" s="14">
        <v>2</v>
      </c>
      <c r="F4" s="14">
        <v>2</v>
      </c>
      <c r="G4" s="14">
        <v>2</v>
      </c>
      <c r="H4" s="14">
        <v>3</v>
      </c>
      <c r="I4" s="14">
        <v>2</v>
      </c>
      <c r="J4" s="14">
        <v>2</v>
      </c>
      <c r="K4" s="14">
        <v>2</v>
      </c>
      <c r="L4" s="14">
        <v>2</v>
      </c>
      <c r="M4" s="14">
        <v>2</v>
      </c>
      <c r="N4" s="14">
        <v>3</v>
      </c>
      <c r="O4" s="14">
        <v>2</v>
      </c>
      <c r="P4" s="14">
        <v>2</v>
      </c>
      <c r="Q4" s="14">
        <v>2</v>
      </c>
      <c r="R4" s="14">
        <v>122</v>
      </c>
      <c r="S4" s="14">
        <v>2</v>
      </c>
      <c r="T4" s="14">
        <v>2</v>
      </c>
      <c r="U4" s="14">
        <v>2</v>
      </c>
      <c r="V4" s="14">
        <v>3</v>
      </c>
      <c r="W4" s="14" t="s">
        <v>139</v>
      </c>
      <c r="X4" s="14" t="s">
        <v>133</v>
      </c>
    </row>
    <row r="5" spans="1:24" x14ac:dyDescent="0.35">
      <c r="A5" s="44">
        <v>46050.284407905092</v>
      </c>
      <c r="B5" s="14" t="s">
        <v>140</v>
      </c>
      <c r="C5" s="14" t="s">
        <v>141</v>
      </c>
      <c r="D5" s="14">
        <v>3.7</v>
      </c>
      <c r="E5" s="14">
        <v>2</v>
      </c>
      <c r="F5" s="14">
        <v>2</v>
      </c>
      <c r="G5" s="14">
        <v>3</v>
      </c>
      <c r="H5" s="14">
        <v>2</v>
      </c>
      <c r="I5" s="14">
        <v>3</v>
      </c>
      <c r="J5" s="14">
        <v>2</v>
      </c>
      <c r="K5" s="14">
        <v>2</v>
      </c>
      <c r="L5" s="14">
        <v>2</v>
      </c>
      <c r="M5" s="14">
        <v>2</v>
      </c>
      <c r="N5" s="14">
        <v>2</v>
      </c>
      <c r="O5" s="14">
        <v>3</v>
      </c>
      <c r="P5" s="14">
        <v>3</v>
      </c>
      <c r="Q5" s="14">
        <v>2</v>
      </c>
      <c r="R5" s="14">
        <v>119</v>
      </c>
      <c r="S5" s="14">
        <v>3</v>
      </c>
      <c r="T5" s="14">
        <v>3</v>
      </c>
      <c r="U5" s="14">
        <v>2</v>
      </c>
      <c r="V5" s="14">
        <v>2</v>
      </c>
      <c r="W5" s="14" t="s">
        <v>142</v>
      </c>
      <c r="X5" s="14" t="s">
        <v>133</v>
      </c>
    </row>
    <row r="6" spans="1:24" x14ac:dyDescent="0.35">
      <c r="A6" s="44">
        <v>46050.287067893521</v>
      </c>
      <c r="B6" s="14" t="s">
        <v>143</v>
      </c>
      <c r="C6" s="14" t="s">
        <v>144</v>
      </c>
      <c r="D6" s="14">
        <v>3.7</v>
      </c>
      <c r="E6" s="14">
        <v>3</v>
      </c>
      <c r="F6" s="14">
        <v>2</v>
      </c>
      <c r="G6" s="14">
        <v>3</v>
      </c>
      <c r="H6" s="14">
        <v>2</v>
      </c>
      <c r="I6" s="14">
        <v>3</v>
      </c>
      <c r="J6" s="14">
        <v>2</v>
      </c>
      <c r="K6" s="14">
        <v>3</v>
      </c>
      <c r="L6" s="14">
        <v>2</v>
      </c>
      <c r="M6" s="14">
        <v>3</v>
      </c>
      <c r="N6" s="14">
        <v>2</v>
      </c>
      <c r="O6" s="14">
        <v>2</v>
      </c>
      <c r="P6" s="14">
        <v>2</v>
      </c>
      <c r="Q6" s="14">
        <v>2</v>
      </c>
      <c r="R6" s="14">
        <v>120</v>
      </c>
      <c r="S6" s="14">
        <v>2</v>
      </c>
      <c r="T6" s="14">
        <v>3</v>
      </c>
      <c r="U6" s="14">
        <v>2</v>
      </c>
      <c r="V6" s="14">
        <v>2</v>
      </c>
      <c r="W6" s="14" t="s">
        <v>145</v>
      </c>
      <c r="X6" s="14" t="s">
        <v>133</v>
      </c>
    </row>
    <row r="7" spans="1:24" x14ac:dyDescent="0.35">
      <c r="A7" s="44">
        <v>46050.288233969914</v>
      </c>
      <c r="B7" s="14" t="s">
        <v>146</v>
      </c>
      <c r="C7" s="14" t="s">
        <v>147</v>
      </c>
      <c r="D7" s="14">
        <v>3.6</v>
      </c>
      <c r="E7" s="14">
        <v>2</v>
      </c>
      <c r="F7" s="14">
        <v>2</v>
      </c>
      <c r="G7" s="14">
        <v>2</v>
      </c>
      <c r="H7" s="14">
        <v>2</v>
      </c>
      <c r="I7" s="14">
        <v>2</v>
      </c>
      <c r="J7" s="14">
        <v>2</v>
      </c>
      <c r="K7" s="14">
        <v>3</v>
      </c>
      <c r="L7" s="14">
        <v>2</v>
      </c>
      <c r="M7" s="14">
        <v>2</v>
      </c>
      <c r="N7" s="14">
        <v>2</v>
      </c>
      <c r="O7" s="14">
        <v>2</v>
      </c>
      <c r="P7" s="14">
        <v>3</v>
      </c>
      <c r="Q7" s="14">
        <v>2</v>
      </c>
      <c r="R7" s="14">
        <v>119</v>
      </c>
      <c r="S7" s="14">
        <v>2</v>
      </c>
      <c r="T7" s="14">
        <v>2</v>
      </c>
      <c r="U7" s="14">
        <v>2</v>
      </c>
      <c r="V7" s="14">
        <v>2</v>
      </c>
      <c r="W7" s="14" t="s">
        <v>148</v>
      </c>
      <c r="X7" s="14" t="s">
        <v>133</v>
      </c>
    </row>
    <row r="8" spans="1:24" x14ac:dyDescent="0.35">
      <c r="A8" s="44">
        <v>46050.290445219907</v>
      </c>
      <c r="B8" s="14" t="s">
        <v>149</v>
      </c>
      <c r="C8" s="14" t="s">
        <v>11</v>
      </c>
      <c r="D8" s="14">
        <v>3.8</v>
      </c>
      <c r="E8" s="14">
        <v>2</v>
      </c>
      <c r="F8" s="14">
        <v>3</v>
      </c>
      <c r="G8" s="14">
        <v>3</v>
      </c>
      <c r="H8" s="14">
        <v>2</v>
      </c>
      <c r="I8" s="14">
        <v>3</v>
      </c>
      <c r="J8" s="14">
        <v>2</v>
      </c>
      <c r="K8" s="14">
        <v>2</v>
      </c>
      <c r="L8" s="14">
        <v>2</v>
      </c>
      <c r="M8" s="14">
        <v>3</v>
      </c>
      <c r="N8" s="14">
        <v>2</v>
      </c>
      <c r="O8" s="14">
        <v>2</v>
      </c>
      <c r="P8" s="14">
        <v>3</v>
      </c>
      <c r="Q8" s="14">
        <v>2</v>
      </c>
      <c r="R8" s="14">
        <v>120</v>
      </c>
      <c r="S8" s="14">
        <v>3</v>
      </c>
      <c r="T8" s="14">
        <v>3</v>
      </c>
      <c r="U8" s="14">
        <v>2</v>
      </c>
      <c r="V8" s="14">
        <v>2</v>
      </c>
      <c r="W8" s="14" t="s">
        <v>150</v>
      </c>
      <c r="X8" s="14" t="s">
        <v>133</v>
      </c>
    </row>
    <row r="9" spans="1:24" x14ac:dyDescent="0.35">
      <c r="A9" s="44">
        <v>46050.291332025467</v>
      </c>
      <c r="B9" s="14" t="s">
        <v>151</v>
      </c>
      <c r="C9" s="14" t="s">
        <v>152</v>
      </c>
      <c r="D9" s="14">
        <v>3.7</v>
      </c>
      <c r="E9" s="14">
        <v>3</v>
      </c>
      <c r="F9" s="14">
        <v>2</v>
      </c>
      <c r="G9" s="14">
        <v>2</v>
      </c>
      <c r="H9" s="14">
        <v>3</v>
      </c>
      <c r="I9" s="14">
        <v>2</v>
      </c>
      <c r="J9" s="14">
        <v>2</v>
      </c>
      <c r="K9" s="14">
        <v>2</v>
      </c>
      <c r="L9" s="14">
        <v>3</v>
      </c>
      <c r="M9" s="14">
        <v>2</v>
      </c>
      <c r="N9" s="14">
        <v>3</v>
      </c>
      <c r="O9" s="14">
        <v>2</v>
      </c>
      <c r="P9" s="14">
        <v>2</v>
      </c>
      <c r="Q9" s="14">
        <v>2</v>
      </c>
      <c r="R9" s="14">
        <v>119</v>
      </c>
      <c r="S9" s="14">
        <v>2</v>
      </c>
      <c r="T9" s="14">
        <v>2</v>
      </c>
      <c r="U9" s="14">
        <v>3</v>
      </c>
      <c r="V9" s="14">
        <v>3</v>
      </c>
      <c r="W9" s="14" t="s">
        <v>153</v>
      </c>
      <c r="X9" s="14" t="s">
        <v>133</v>
      </c>
    </row>
    <row r="10" spans="1:24" x14ac:dyDescent="0.35">
      <c r="A10" s="44">
        <v>46051.331695856483</v>
      </c>
      <c r="B10" s="14" t="s">
        <v>154</v>
      </c>
      <c r="C10" s="14" t="s">
        <v>155</v>
      </c>
      <c r="D10" s="14">
        <v>3.5</v>
      </c>
      <c r="E10" s="14">
        <v>2</v>
      </c>
      <c r="F10" s="14">
        <v>2</v>
      </c>
      <c r="G10" s="14">
        <v>2</v>
      </c>
      <c r="H10" s="14">
        <v>2</v>
      </c>
      <c r="I10" s="14">
        <v>2</v>
      </c>
      <c r="J10" s="14">
        <v>2</v>
      </c>
      <c r="K10" s="14">
        <v>2</v>
      </c>
      <c r="L10" s="14">
        <v>2</v>
      </c>
      <c r="M10" s="14">
        <v>3</v>
      </c>
      <c r="N10" s="14">
        <v>2</v>
      </c>
      <c r="O10" s="14">
        <v>3</v>
      </c>
      <c r="P10" s="14">
        <v>2</v>
      </c>
      <c r="Q10" s="14">
        <v>3</v>
      </c>
      <c r="R10" s="14">
        <v>119</v>
      </c>
      <c r="S10" s="14">
        <v>2</v>
      </c>
      <c r="T10" s="14">
        <v>2</v>
      </c>
      <c r="U10" s="14">
        <v>2</v>
      </c>
      <c r="V10" s="14">
        <v>3</v>
      </c>
      <c r="W10" s="14" t="s">
        <v>156</v>
      </c>
      <c r="X10" s="14" t="s">
        <v>133</v>
      </c>
    </row>
    <row r="11" spans="1:24" x14ac:dyDescent="0.35">
      <c r="A11" s="44">
        <v>46058.48975453704</v>
      </c>
      <c r="B11" s="14" t="s">
        <v>157</v>
      </c>
      <c r="C11" s="14" t="s">
        <v>158</v>
      </c>
      <c r="D11" s="14">
        <v>3.8</v>
      </c>
      <c r="E11" s="14">
        <v>3</v>
      </c>
      <c r="F11" s="14">
        <v>3</v>
      </c>
      <c r="G11" s="14">
        <v>2</v>
      </c>
      <c r="H11" s="14">
        <v>3</v>
      </c>
      <c r="I11" s="14">
        <v>2</v>
      </c>
      <c r="J11" s="14">
        <v>3</v>
      </c>
      <c r="K11" s="14">
        <v>2</v>
      </c>
      <c r="L11" s="14">
        <v>3</v>
      </c>
      <c r="M11" s="14">
        <v>2</v>
      </c>
      <c r="N11" s="14">
        <v>2</v>
      </c>
      <c r="O11" s="14">
        <v>3</v>
      </c>
      <c r="P11" s="14">
        <v>2</v>
      </c>
      <c r="Q11" s="14">
        <v>2</v>
      </c>
      <c r="R11" s="14">
        <v>122</v>
      </c>
      <c r="S11" s="14">
        <v>2</v>
      </c>
      <c r="T11" s="14">
        <v>2</v>
      </c>
      <c r="U11" s="14">
        <v>3</v>
      </c>
      <c r="V11" s="14">
        <v>2</v>
      </c>
      <c r="W11" s="14" t="s">
        <v>159</v>
      </c>
      <c r="X11" s="14" t="s">
        <v>133</v>
      </c>
    </row>
    <row r="12" spans="1:24" x14ac:dyDescent="0.35">
      <c r="A12" s="44">
        <v>46058.503878784722</v>
      </c>
      <c r="B12" s="14" t="s">
        <v>160</v>
      </c>
      <c r="C12" s="14" t="s">
        <v>161</v>
      </c>
      <c r="D12" s="14">
        <v>3.7</v>
      </c>
      <c r="E12" s="14">
        <v>2</v>
      </c>
      <c r="F12" s="14">
        <v>2</v>
      </c>
      <c r="G12" s="14">
        <v>3</v>
      </c>
      <c r="H12" s="14">
        <v>2</v>
      </c>
      <c r="I12" s="14">
        <v>3</v>
      </c>
      <c r="J12" s="14">
        <v>3</v>
      </c>
      <c r="K12" s="14">
        <v>2</v>
      </c>
      <c r="L12" s="14">
        <v>2</v>
      </c>
      <c r="M12" s="14">
        <v>2</v>
      </c>
      <c r="N12" s="14">
        <v>2</v>
      </c>
      <c r="O12" s="14">
        <v>3</v>
      </c>
      <c r="P12" s="14">
        <v>3</v>
      </c>
      <c r="Q12" s="14">
        <v>2</v>
      </c>
      <c r="R12" s="14">
        <v>119</v>
      </c>
      <c r="S12" s="14">
        <v>3</v>
      </c>
      <c r="T12" s="14">
        <v>3</v>
      </c>
      <c r="U12" s="14">
        <v>2</v>
      </c>
      <c r="V12" s="14">
        <v>2</v>
      </c>
      <c r="W12" s="14" t="s">
        <v>162</v>
      </c>
      <c r="X12" s="14" t="s">
        <v>133</v>
      </c>
    </row>
    <row r="13" spans="1:24" x14ac:dyDescent="0.35">
      <c r="A13" s="44">
        <v>46058.508931064818</v>
      </c>
      <c r="B13" s="14" t="s">
        <v>163</v>
      </c>
      <c r="C13" s="14" t="s">
        <v>164</v>
      </c>
      <c r="D13" s="14">
        <v>3.6</v>
      </c>
      <c r="E13" s="14">
        <v>2</v>
      </c>
      <c r="F13" s="14">
        <v>2</v>
      </c>
      <c r="G13" s="14">
        <v>3</v>
      </c>
      <c r="H13" s="14">
        <v>2</v>
      </c>
      <c r="I13" s="14">
        <v>3</v>
      </c>
      <c r="J13" s="14">
        <v>2</v>
      </c>
      <c r="K13" s="14">
        <v>2</v>
      </c>
      <c r="L13" s="14">
        <v>2</v>
      </c>
      <c r="M13" s="14">
        <v>2</v>
      </c>
      <c r="N13" s="14">
        <v>2</v>
      </c>
      <c r="O13" s="14">
        <v>2</v>
      </c>
      <c r="P13" s="14">
        <v>3</v>
      </c>
      <c r="Q13" s="14">
        <v>2</v>
      </c>
      <c r="R13" s="14">
        <v>120</v>
      </c>
      <c r="S13" s="14">
        <v>3</v>
      </c>
      <c r="T13" s="14">
        <v>3</v>
      </c>
      <c r="U13" s="14">
        <v>2</v>
      </c>
      <c r="V13" s="14">
        <v>2</v>
      </c>
      <c r="W13" s="14" t="s">
        <v>165</v>
      </c>
      <c r="X13" s="14" t="s">
        <v>133</v>
      </c>
    </row>
    <row r="14" spans="1:24" x14ac:dyDescent="0.35">
      <c r="A14" s="44">
        <v>46058.509829618059</v>
      </c>
      <c r="B14" s="14" t="s">
        <v>166</v>
      </c>
      <c r="C14" s="14" t="s">
        <v>167</v>
      </c>
      <c r="D14" s="14">
        <v>3.5</v>
      </c>
      <c r="E14" s="14">
        <v>2</v>
      </c>
      <c r="F14" s="14">
        <v>2</v>
      </c>
      <c r="G14" s="14">
        <v>2</v>
      </c>
      <c r="H14" s="14">
        <v>2</v>
      </c>
      <c r="I14" s="14">
        <v>2</v>
      </c>
      <c r="J14" s="14">
        <v>2</v>
      </c>
      <c r="K14" s="14">
        <v>2</v>
      </c>
      <c r="L14" s="14">
        <v>2</v>
      </c>
      <c r="M14" s="14">
        <v>2</v>
      </c>
      <c r="N14" s="14">
        <v>2</v>
      </c>
      <c r="O14" s="14">
        <v>2</v>
      </c>
      <c r="P14" s="14">
        <v>2</v>
      </c>
      <c r="Q14" s="14">
        <v>2</v>
      </c>
      <c r="R14" s="14">
        <v>119</v>
      </c>
      <c r="S14" s="14">
        <v>2</v>
      </c>
      <c r="T14" s="14">
        <v>2</v>
      </c>
      <c r="U14" s="14">
        <v>2</v>
      </c>
      <c r="V14" s="14">
        <v>2</v>
      </c>
      <c r="W14" s="14" t="s">
        <v>168</v>
      </c>
      <c r="X14" s="14" t="s">
        <v>133</v>
      </c>
    </row>
    <row r="15" spans="1:24" x14ac:dyDescent="0.35">
      <c r="A15" s="44">
        <v>46058.510758530087</v>
      </c>
      <c r="B15" s="14" t="s">
        <v>169</v>
      </c>
      <c r="C15" s="14" t="s">
        <v>170</v>
      </c>
      <c r="D15" s="14">
        <v>3.7</v>
      </c>
      <c r="E15" s="14">
        <v>2</v>
      </c>
      <c r="F15" s="14">
        <v>2</v>
      </c>
      <c r="G15" s="14">
        <v>2</v>
      </c>
      <c r="H15" s="14">
        <v>2</v>
      </c>
      <c r="I15" s="14">
        <v>2</v>
      </c>
      <c r="J15" s="14">
        <v>3</v>
      </c>
      <c r="K15" s="14">
        <v>3</v>
      </c>
      <c r="L15" s="14">
        <v>2</v>
      </c>
      <c r="M15" s="14">
        <v>2</v>
      </c>
      <c r="N15" s="14">
        <v>2</v>
      </c>
      <c r="O15" s="14">
        <v>3</v>
      </c>
      <c r="P15" s="14">
        <v>2</v>
      </c>
      <c r="Q15" s="14">
        <v>3</v>
      </c>
      <c r="R15" s="14">
        <v>121</v>
      </c>
      <c r="S15" s="14">
        <v>2</v>
      </c>
      <c r="T15" s="14">
        <v>3</v>
      </c>
      <c r="U15" s="14">
        <v>2</v>
      </c>
      <c r="V15" s="14">
        <v>2</v>
      </c>
      <c r="W15" s="14" t="s">
        <v>171</v>
      </c>
      <c r="X15" s="14" t="s">
        <v>133</v>
      </c>
    </row>
    <row r="16" spans="1:24" x14ac:dyDescent="0.35">
      <c r="A16" s="44">
        <v>46058.514247094907</v>
      </c>
      <c r="B16" s="14" t="s">
        <v>172</v>
      </c>
      <c r="C16" s="14" t="s">
        <v>173</v>
      </c>
      <c r="D16" s="14">
        <v>3.8</v>
      </c>
      <c r="E16" s="14">
        <v>3</v>
      </c>
      <c r="F16" s="14">
        <v>3</v>
      </c>
      <c r="G16" s="14">
        <v>2</v>
      </c>
      <c r="H16" s="14">
        <v>2</v>
      </c>
      <c r="I16" s="14">
        <v>2</v>
      </c>
      <c r="J16" s="14">
        <v>2</v>
      </c>
      <c r="K16" s="14">
        <v>2</v>
      </c>
      <c r="L16" s="14">
        <v>3</v>
      </c>
      <c r="M16" s="14">
        <v>3</v>
      </c>
      <c r="N16" s="14">
        <v>2</v>
      </c>
      <c r="O16" s="14">
        <v>2</v>
      </c>
      <c r="P16" s="14">
        <v>2</v>
      </c>
      <c r="Q16" s="14">
        <v>2</v>
      </c>
      <c r="R16" s="14">
        <v>119</v>
      </c>
      <c r="S16" s="14">
        <v>2</v>
      </c>
      <c r="T16" s="14">
        <v>2</v>
      </c>
      <c r="U16" s="14">
        <v>3</v>
      </c>
      <c r="V16" s="14">
        <v>2</v>
      </c>
      <c r="W16" s="14" t="s">
        <v>174</v>
      </c>
      <c r="X16" s="14" t="s">
        <v>133</v>
      </c>
    </row>
    <row r="17" spans="1:24" x14ac:dyDescent="0.35">
      <c r="A17" s="44">
        <v>46058.515278969913</v>
      </c>
      <c r="B17" s="14" t="s">
        <v>175</v>
      </c>
      <c r="C17" s="14" t="s">
        <v>176</v>
      </c>
      <c r="D17" s="14">
        <v>3.7</v>
      </c>
      <c r="E17" s="14">
        <v>2</v>
      </c>
      <c r="F17" s="14">
        <v>2</v>
      </c>
      <c r="G17" s="14">
        <v>3</v>
      </c>
      <c r="H17" s="14">
        <v>3</v>
      </c>
      <c r="I17" s="14">
        <v>3</v>
      </c>
      <c r="J17" s="14">
        <v>2</v>
      </c>
      <c r="K17" s="14">
        <v>2</v>
      </c>
      <c r="L17" s="14">
        <v>2</v>
      </c>
      <c r="M17" s="14">
        <v>2</v>
      </c>
      <c r="N17" s="14">
        <v>3</v>
      </c>
      <c r="O17" s="14">
        <v>2</v>
      </c>
      <c r="P17" s="14">
        <v>3</v>
      </c>
      <c r="Q17" s="14">
        <v>2</v>
      </c>
      <c r="R17" s="14">
        <v>119</v>
      </c>
      <c r="S17" s="14">
        <v>3</v>
      </c>
      <c r="T17" s="14">
        <v>3</v>
      </c>
      <c r="U17" s="14">
        <v>2</v>
      </c>
      <c r="V17" s="14">
        <v>3</v>
      </c>
      <c r="W17" s="14" t="s">
        <v>177</v>
      </c>
      <c r="X17" s="14" t="s">
        <v>133</v>
      </c>
    </row>
    <row r="18" spans="1:24" x14ac:dyDescent="0.35">
      <c r="A18" s="44">
        <v>46058.516692974539</v>
      </c>
      <c r="B18" s="14" t="s">
        <v>178</v>
      </c>
      <c r="C18" s="14" t="s">
        <v>179</v>
      </c>
      <c r="D18" s="14">
        <v>3.6</v>
      </c>
      <c r="E18" s="14">
        <v>3</v>
      </c>
      <c r="F18" s="14">
        <v>2</v>
      </c>
      <c r="G18" s="14">
        <v>2</v>
      </c>
      <c r="H18" s="14">
        <v>2</v>
      </c>
      <c r="I18" s="14">
        <v>2</v>
      </c>
      <c r="J18" s="14">
        <v>3</v>
      </c>
      <c r="K18" s="14">
        <v>2</v>
      </c>
      <c r="L18" s="14">
        <v>3</v>
      </c>
      <c r="M18" s="14">
        <v>2</v>
      </c>
      <c r="N18" s="14">
        <v>2</v>
      </c>
      <c r="O18" s="14">
        <v>3</v>
      </c>
      <c r="P18" s="14">
        <v>2</v>
      </c>
      <c r="Q18" s="14">
        <v>2</v>
      </c>
      <c r="R18" s="14">
        <v>120</v>
      </c>
      <c r="S18" s="14">
        <v>2</v>
      </c>
      <c r="T18" s="14">
        <v>2</v>
      </c>
      <c r="U18" s="14">
        <v>3</v>
      </c>
      <c r="V18" s="14">
        <v>2</v>
      </c>
      <c r="W18" s="14" t="s">
        <v>180</v>
      </c>
      <c r="X18" s="14" t="s">
        <v>133</v>
      </c>
    </row>
    <row r="19" spans="1:24" x14ac:dyDescent="0.35">
      <c r="A19" s="44">
        <v>46058.517446296297</v>
      </c>
      <c r="B19" s="14" t="s">
        <v>181</v>
      </c>
      <c r="C19" s="14" t="s">
        <v>182</v>
      </c>
      <c r="D19" s="14">
        <v>3.3</v>
      </c>
      <c r="E19" s="14">
        <v>2</v>
      </c>
      <c r="F19" s="14">
        <v>2</v>
      </c>
      <c r="G19" s="14">
        <v>2</v>
      </c>
      <c r="H19" s="14">
        <v>2</v>
      </c>
      <c r="I19" s="14">
        <v>2</v>
      </c>
      <c r="J19" s="14">
        <v>2</v>
      </c>
      <c r="K19" s="14">
        <v>2</v>
      </c>
      <c r="L19" s="14">
        <v>2</v>
      </c>
      <c r="M19" s="14">
        <v>2</v>
      </c>
      <c r="N19" s="14">
        <v>2</v>
      </c>
      <c r="O19" s="14">
        <v>2</v>
      </c>
      <c r="P19" s="14">
        <v>2</v>
      </c>
      <c r="Q19" s="14">
        <v>2</v>
      </c>
      <c r="R19" s="14">
        <v>120</v>
      </c>
      <c r="S19" s="14">
        <v>2</v>
      </c>
      <c r="T19" s="14">
        <v>2</v>
      </c>
      <c r="U19" s="14">
        <v>2</v>
      </c>
      <c r="V19" s="14">
        <v>2</v>
      </c>
      <c r="W19" s="14" t="s">
        <v>183</v>
      </c>
      <c r="X19" s="14" t="s">
        <v>133</v>
      </c>
    </row>
    <row r="20" spans="1:24" x14ac:dyDescent="0.35">
      <c r="A20" s="50">
        <v>46059.382071759261</v>
      </c>
      <c r="B20" s="51" t="s">
        <v>209</v>
      </c>
      <c r="C20" s="51" t="s">
        <v>210</v>
      </c>
      <c r="D20" s="51">
        <v>3.3</v>
      </c>
      <c r="E20" s="51">
        <v>2</v>
      </c>
      <c r="F20" s="51">
        <v>1</v>
      </c>
      <c r="G20" s="51">
        <v>2</v>
      </c>
      <c r="H20" s="51">
        <v>2</v>
      </c>
      <c r="I20" s="51">
        <v>1</v>
      </c>
      <c r="J20" s="51">
        <v>2</v>
      </c>
      <c r="K20" s="51">
        <v>2</v>
      </c>
      <c r="L20" s="51">
        <v>2</v>
      </c>
      <c r="M20" s="51">
        <v>1</v>
      </c>
      <c r="N20" s="51">
        <v>2</v>
      </c>
      <c r="O20" s="51">
        <v>2</v>
      </c>
      <c r="P20" s="51">
        <v>2</v>
      </c>
      <c r="Q20" s="51">
        <v>1</v>
      </c>
      <c r="R20" s="51">
        <v>118</v>
      </c>
      <c r="S20" s="51">
        <v>2</v>
      </c>
      <c r="T20" s="51">
        <v>1</v>
      </c>
      <c r="U20" s="51">
        <v>2</v>
      </c>
      <c r="V20" s="51">
        <v>1</v>
      </c>
      <c r="W20" s="51" t="s">
        <v>211</v>
      </c>
      <c r="X20" s="51" t="s">
        <v>133</v>
      </c>
    </row>
    <row r="21" spans="1:24" x14ac:dyDescent="0.35">
      <c r="A21" s="50">
        <v>46059.38385416667</v>
      </c>
      <c r="B21" s="51" t="s">
        <v>212</v>
      </c>
      <c r="C21" s="51" t="s">
        <v>213</v>
      </c>
      <c r="D21" s="51">
        <v>3.4</v>
      </c>
      <c r="E21" s="51">
        <v>3</v>
      </c>
      <c r="F21" s="51">
        <v>2</v>
      </c>
      <c r="G21" s="51">
        <v>2</v>
      </c>
      <c r="H21" s="51">
        <v>2</v>
      </c>
      <c r="I21" s="51">
        <v>2</v>
      </c>
      <c r="J21" s="51">
        <v>2</v>
      </c>
      <c r="K21" s="51">
        <v>1</v>
      </c>
      <c r="L21" s="51">
        <v>3</v>
      </c>
      <c r="M21" s="51">
        <v>2</v>
      </c>
      <c r="N21" s="51">
        <v>2</v>
      </c>
      <c r="O21" s="51">
        <v>2</v>
      </c>
      <c r="P21" s="51">
        <v>2</v>
      </c>
      <c r="Q21" s="51">
        <v>1</v>
      </c>
      <c r="R21" s="51">
        <v>120</v>
      </c>
      <c r="S21" s="51">
        <v>2</v>
      </c>
      <c r="T21" s="51">
        <v>2</v>
      </c>
      <c r="U21" s="51">
        <v>3</v>
      </c>
      <c r="V21" s="51">
        <v>2</v>
      </c>
      <c r="W21" s="51" t="s">
        <v>214</v>
      </c>
      <c r="X21" s="51" t="s">
        <v>133</v>
      </c>
    </row>
    <row r="22" spans="1:24" x14ac:dyDescent="0.35">
      <c r="A22" s="50">
        <v>46059.385763888888</v>
      </c>
      <c r="B22" s="51" t="s">
        <v>215</v>
      </c>
      <c r="C22" s="51" t="s">
        <v>216</v>
      </c>
      <c r="D22" s="51">
        <v>3.1</v>
      </c>
      <c r="E22" s="51">
        <v>1</v>
      </c>
      <c r="F22" s="51">
        <v>2</v>
      </c>
      <c r="G22" s="51">
        <v>1</v>
      </c>
      <c r="H22" s="51">
        <v>2</v>
      </c>
      <c r="I22" s="51">
        <v>2</v>
      </c>
      <c r="J22" s="51">
        <v>1</v>
      </c>
      <c r="K22" s="51">
        <v>2</v>
      </c>
      <c r="L22" s="51">
        <v>2</v>
      </c>
      <c r="M22" s="51">
        <v>2</v>
      </c>
      <c r="N22" s="51">
        <v>1</v>
      </c>
      <c r="O22" s="51">
        <v>1</v>
      </c>
      <c r="P22" s="51">
        <v>2</v>
      </c>
      <c r="Q22" s="51">
        <v>2</v>
      </c>
      <c r="R22" s="51">
        <v>121</v>
      </c>
      <c r="S22" s="51">
        <v>1</v>
      </c>
      <c r="T22" s="51">
        <v>2</v>
      </c>
      <c r="U22" s="51">
        <v>2</v>
      </c>
      <c r="V22" s="51">
        <v>1</v>
      </c>
      <c r="W22" s="51" t="s">
        <v>217</v>
      </c>
      <c r="X22" s="51" t="s">
        <v>133</v>
      </c>
    </row>
    <row r="23" spans="1:24" x14ac:dyDescent="0.35">
      <c r="A23" s="50">
        <v>46059.387754629628</v>
      </c>
      <c r="B23" s="51" t="s">
        <v>218</v>
      </c>
      <c r="C23" s="51" t="s">
        <v>219</v>
      </c>
      <c r="D23" s="51">
        <v>3.5</v>
      </c>
      <c r="E23" s="51">
        <v>2</v>
      </c>
      <c r="F23" s="51">
        <v>3</v>
      </c>
      <c r="G23" s="51">
        <v>2</v>
      </c>
      <c r="H23" s="51">
        <v>2</v>
      </c>
      <c r="I23" s="51">
        <v>2</v>
      </c>
      <c r="J23" s="51">
        <v>2</v>
      </c>
      <c r="K23" s="51">
        <v>1</v>
      </c>
      <c r="L23" s="51">
        <v>2</v>
      </c>
      <c r="M23" s="51">
        <v>3</v>
      </c>
      <c r="N23" s="51">
        <v>2</v>
      </c>
      <c r="O23" s="51">
        <v>2</v>
      </c>
      <c r="P23" s="51">
        <v>2</v>
      </c>
      <c r="Q23" s="51">
        <v>1</v>
      </c>
      <c r="R23" s="51">
        <v>122</v>
      </c>
      <c r="S23" s="51">
        <v>2</v>
      </c>
      <c r="T23" s="51">
        <v>2</v>
      </c>
      <c r="U23" s="51">
        <v>2</v>
      </c>
      <c r="V23" s="51">
        <v>2</v>
      </c>
      <c r="W23" s="51" t="s">
        <v>220</v>
      </c>
      <c r="X23" s="51" t="s">
        <v>133</v>
      </c>
    </row>
    <row r="24" spans="1:24" x14ac:dyDescent="0.35">
      <c r="A24" s="50">
        <v>46059.389699074076</v>
      </c>
      <c r="B24" s="51" t="s">
        <v>221</v>
      </c>
      <c r="C24" s="51" t="s">
        <v>222</v>
      </c>
      <c r="D24" s="51">
        <v>3.6</v>
      </c>
      <c r="E24" s="51">
        <v>3</v>
      </c>
      <c r="F24" s="51">
        <v>2</v>
      </c>
      <c r="G24" s="51">
        <v>3</v>
      </c>
      <c r="H24" s="51">
        <v>2</v>
      </c>
      <c r="I24" s="51">
        <v>3</v>
      </c>
      <c r="J24" s="51">
        <v>2</v>
      </c>
      <c r="K24" s="51">
        <v>2</v>
      </c>
      <c r="L24" s="51">
        <v>3</v>
      </c>
      <c r="M24" s="51">
        <v>2</v>
      </c>
      <c r="N24" s="51">
        <v>2</v>
      </c>
      <c r="O24" s="51">
        <v>2</v>
      </c>
      <c r="P24" s="51">
        <v>3</v>
      </c>
      <c r="Q24" s="51">
        <v>2</v>
      </c>
      <c r="R24" s="51">
        <v>124</v>
      </c>
      <c r="S24" s="51">
        <v>3</v>
      </c>
      <c r="T24" s="51">
        <v>2</v>
      </c>
      <c r="U24" s="51">
        <v>3</v>
      </c>
      <c r="V24" s="51">
        <v>2</v>
      </c>
      <c r="W24" s="51" t="s">
        <v>223</v>
      </c>
      <c r="X24" s="51" t="s">
        <v>133</v>
      </c>
    </row>
    <row r="26" spans="1:24" x14ac:dyDescent="0.35">
      <c r="A26" s="45" t="s">
        <v>106</v>
      </c>
      <c r="B26" s="45" t="s">
        <v>110</v>
      </c>
      <c r="C26" s="45" t="s">
        <v>111</v>
      </c>
      <c r="D26" s="45" t="s">
        <v>112</v>
      </c>
      <c r="E26" s="45" t="s">
        <v>113</v>
      </c>
      <c r="F26" s="45" t="s">
        <v>114</v>
      </c>
      <c r="G26" s="45" t="s">
        <v>115</v>
      </c>
      <c r="H26" s="45" t="s">
        <v>116</v>
      </c>
      <c r="I26" s="45" t="s">
        <v>117</v>
      </c>
      <c r="J26" s="45" t="s">
        <v>118</v>
      </c>
      <c r="K26" s="45" t="s">
        <v>119</v>
      </c>
      <c r="L26" s="45" t="s">
        <v>120</v>
      </c>
      <c r="M26" s="45" t="s">
        <v>121</v>
      </c>
      <c r="N26" s="45" t="s">
        <v>122</v>
      </c>
      <c r="O26" s="45" t="s">
        <v>124</v>
      </c>
      <c r="P26" s="45" t="s">
        <v>125</v>
      </c>
      <c r="Q26" s="45" t="s">
        <v>126</v>
      </c>
      <c r="R26" s="45" t="s">
        <v>127</v>
      </c>
    </row>
    <row r="27" spans="1:24" x14ac:dyDescent="0.35">
      <c r="A27" s="14" t="s">
        <v>130</v>
      </c>
      <c r="B27" s="4">
        <v>3</v>
      </c>
      <c r="C27" s="4">
        <v>2</v>
      </c>
      <c r="D27" s="4">
        <v>2</v>
      </c>
      <c r="E27" s="4">
        <v>2</v>
      </c>
      <c r="F27" s="4">
        <v>2</v>
      </c>
      <c r="G27" s="4">
        <v>3</v>
      </c>
      <c r="H27" s="4">
        <v>2</v>
      </c>
      <c r="I27" s="4">
        <v>3</v>
      </c>
      <c r="J27" s="4">
        <v>2</v>
      </c>
      <c r="K27" s="4">
        <v>3</v>
      </c>
      <c r="L27" s="4">
        <v>3</v>
      </c>
      <c r="M27" s="4">
        <v>2</v>
      </c>
      <c r="N27" s="4">
        <v>2</v>
      </c>
      <c r="O27" s="4">
        <v>2</v>
      </c>
      <c r="P27" s="4">
        <v>2</v>
      </c>
      <c r="Q27" s="4">
        <v>3</v>
      </c>
      <c r="R27" s="4">
        <v>2</v>
      </c>
    </row>
    <row r="28" spans="1:24" x14ac:dyDescent="0.35">
      <c r="A28" s="14" t="s">
        <v>134</v>
      </c>
      <c r="B28" s="4">
        <v>3</v>
      </c>
      <c r="C28" s="4">
        <v>2</v>
      </c>
      <c r="D28" s="4">
        <v>3</v>
      </c>
      <c r="E28" s="4">
        <v>2</v>
      </c>
      <c r="F28" s="4">
        <v>3</v>
      </c>
      <c r="G28" s="4">
        <v>2</v>
      </c>
      <c r="H28" s="4">
        <v>2</v>
      </c>
      <c r="I28" s="4">
        <v>3</v>
      </c>
      <c r="J28" s="4">
        <v>2</v>
      </c>
      <c r="K28" s="4">
        <v>2</v>
      </c>
      <c r="L28" s="4">
        <v>2</v>
      </c>
      <c r="M28" s="4">
        <v>3</v>
      </c>
      <c r="N28" s="4">
        <v>2</v>
      </c>
      <c r="O28" s="4">
        <v>3</v>
      </c>
      <c r="P28" s="4">
        <v>3</v>
      </c>
      <c r="Q28" s="4">
        <v>3</v>
      </c>
      <c r="R28" s="4">
        <v>2</v>
      </c>
    </row>
    <row r="29" spans="1:24" x14ac:dyDescent="0.35">
      <c r="A29" s="14" t="s">
        <v>137</v>
      </c>
      <c r="B29" s="4">
        <v>2</v>
      </c>
      <c r="C29" s="4">
        <v>2</v>
      </c>
      <c r="D29" s="4">
        <v>2</v>
      </c>
      <c r="E29" s="4">
        <v>3</v>
      </c>
      <c r="F29" s="4">
        <v>2</v>
      </c>
      <c r="G29" s="4">
        <v>2</v>
      </c>
      <c r="H29" s="4">
        <v>2</v>
      </c>
      <c r="I29" s="4">
        <v>2</v>
      </c>
      <c r="J29" s="4">
        <v>2</v>
      </c>
      <c r="K29" s="4">
        <v>3</v>
      </c>
      <c r="L29" s="4">
        <v>2</v>
      </c>
      <c r="M29" s="4">
        <v>2</v>
      </c>
      <c r="N29" s="4">
        <v>2</v>
      </c>
      <c r="O29" s="4">
        <v>2</v>
      </c>
      <c r="P29" s="4">
        <v>2</v>
      </c>
      <c r="Q29" s="4">
        <v>2</v>
      </c>
      <c r="R29" s="4">
        <v>3</v>
      </c>
    </row>
    <row r="30" spans="1:24" x14ac:dyDescent="0.35">
      <c r="A30" s="14" t="s">
        <v>140</v>
      </c>
      <c r="B30" s="4">
        <v>2</v>
      </c>
      <c r="C30" s="4">
        <v>2</v>
      </c>
      <c r="D30" s="4">
        <v>3</v>
      </c>
      <c r="E30" s="4">
        <v>2</v>
      </c>
      <c r="F30" s="4">
        <v>3</v>
      </c>
      <c r="G30" s="4">
        <v>2</v>
      </c>
      <c r="H30" s="4">
        <v>2</v>
      </c>
      <c r="I30" s="4">
        <v>2</v>
      </c>
      <c r="J30" s="4">
        <v>2</v>
      </c>
      <c r="K30" s="4">
        <v>2</v>
      </c>
      <c r="L30" s="4">
        <v>3</v>
      </c>
      <c r="M30" s="4">
        <v>3</v>
      </c>
      <c r="N30" s="4">
        <v>2</v>
      </c>
      <c r="O30" s="4">
        <v>3</v>
      </c>
      <c r="P30" s="4">
        <v>3</v>
      </c>
      <c r="Q30" s="4">
        <v>2</v>
      </c>
      <c r="R30" s="4">
        <v>2</v>
      </c>
    </row>
    <row r="31" spans="1:24" x14ac:dyDescent="0.35">
      <c r="A31" s="14" t="s">
        <v>143</v>
      </c>
      <c r="B31" s="4">
        <v>3</v>
      </c>
      <c r="C31" s="4">
        <v>2</v>
      </c>
      <c r="D31" s="4">
        <v>3</v>
      </c>
      <c r="E31" s="4">
        <v>2</v>
      </c>
      <c r="F31" s="4">
        <v>3</v>
      </c>
      <c r="G31" s="4">
        <v>2</v>
      </c>
      <c r="H31" s="4">
        <v>3</v>
      </c>
      <c r="I31" s="4">
        <v>2</v>
      </c>
      <c r="J31" s="4">
        <v>3</v>
      </c>
      <c r="K31" s="4">
        <v>2</v>
      </c>
      <c r="L31" s="4">
        <v>2</v>
      </c>
      <c r="M31" s="4">
        <v>2</v>
      </c>
      <c r="N31" s="4">
        <v>2</v>
      </c>
      <c r="O31" s="4">
        <v>2</v>
      </c>
      <c r="P31" s="4">
        <v>3</v>
      </c>
      <c r="Q31" s="4">
        <v>2</v>
      </c>
      <c r="R31" s="4">
        <v>2</v>
      </c>
    </row>
    <row r="32" spans="1:24" x14ac:dyDescent="0.35">
      <c r="A32" s="14" t="s">
        <v>146</v>
      </c>
      <c r="B32" s="4">
        <v>2</v>
      </c>
      <c r="C32" s="4">
        <v>2</v>
      </c>
      <c r="D32" s="4">
        <v>2</v>
      </c>
      <c r="E32" s="4">
        <v>2</v>
      </c>
      <c r="F32" s="4">
        <v>2</v>
      </c>
      <c r="G32" s="4">
        <v>2</v>
      </c>
      <c r="H32" s="4">
        <v>3</v>
      </c>
      <c r="I32" s="4">
        <v>2</v>
      </c>
      <c r="J32" s="4">
        <v>2</v>
      </c>
      <c r="K32" s="4">
        <v>2</v>
      </c>
      <c r="L32" s="4">
        <v>2</v>
      </c>
      <c r="M32" s="4">
        <v>3</v>
      </c>
      <c r="N32" s="4">
        <v>2</v>
      </c>
      <c r="O32" s="4">
        <v>2</v>
      </c>
      <c r="P32" s="4">
        <v>2</v>
      </c>
      <c r="Q32" s="4">
        <v>2</v>
      </c>
      <c r="R32" s="4">
        <v>2</v>
      </c>
    </row>
    <row r="33" spans="1:21" x14ac:dyDescent="0.35">
      <c r="A33" s="14" t="s">
        <v>149</v>
      </c>
      <c r="B33" s="4">
        <v>2</v>
      </c>
      <c r="C33" s="4">
        <v>3</v>
      </c>
      <c r="D33" s="4">
        <v>3</v>
      </c>
      <c r="E33" s="4">
        <v>2</v>
      </c>
      <c r="F33" s="4">
        <v>3</v>
      </c>
      <c r="G33" s="4">
        <v>2</v>
      </c>
      <c r="H33" s="4">
        <v>2</v>
      </c>
      <c r="I33" s="4">
        <v>2</v>
      </c>
      <c r="J33" s="4">
        <v>3</v>
      </c>
      <c r="K33" s="4">
        <v>2</v>
      </c>
      <c r="L33" s="4">
        <v>2</v>
      </c>
      <c r="M33" s="4">
        <v>3</v>
      </c>
      <c r="N33" s="4">
        <v>2</v>
      </c>
      <c r="O33" s="4">
        <v>3</v>
      </c>
      <c r="P33" s="4">
        <v>3</v>
      </c>
      <c r="Q33" s="4">
        <v>2</v>
      </c>
      <c r="R33" s="4">
        <v>2</v>
      </c>
    </row>
    <row r="34" spans="1:21" x14ac:dyDescent="0.35">
      <c r="A34" s="14" t="s">
        <v>151</v>
      </c>
      <c r="B34" s="4">
        <v>3</v>
      </c>
      <c r="C34" s="4">
        <v>2</v>
      </c>
      <c r="D34" s="4">
        <v>2</v>
      </c>
      <c r="E34" s="4">
        <v>3</v>
      </c>
      <c r="F34" s="4">
        <v>2</v>
      </c>
      <c r="G34" s="4">
        <v>2</v>
      </c>
      <c r="H34" s="4">
        <v>2</v>
      </c>
      <c r="I34" s="4">
        <v>3</v>
      </c>
      <c r="J34" s="4">
        <v>2</v>
      </c>
      <c r="K34" s="4">
        <v>3</v>
      </c>
      <c r="L34" s="4">
        <v>2</v>
      </c>
      <c r="M34" s="4">
        <v>2</v>
      </c>
      <c r="N34" s="4">
        <v>2</v>
      </c>
      <c r="O34" s="4">
        <v>2</v>
      </c>
      <c r="P34" s="4">
        <v>2</v>
      </c>
      <c r="Q34" s="4">
        <v>3</v>
      </c>
      <c r="R34" s="4">
        <v>3</v>
      </c>
    </row>
    <row r="35" spans="1:21" x14ac:dyDescent="0.35">
      <c r="A35" s="14" t="s">
        <v>154</v>
      </c>
      <c r="B35" s="4">
        <v>2</v>
      </c>
      <c r="C35" s="4">
        <v>2</v>
      </c>
      <c r="D35" s="4">
        <v>2</v>
      </c>
      <c r="E35" s="4">
        <v>2</v>
      </c>
      <c r="F35" s="4">
        <v>2</v>
      </c>
      <c r="G35" s="4">
        <v>2</v>
      </c>
      <c r="H35" s="4">
        <v>2</v>
      </c>
      <c r="I35" s="4">
        <v>2</v>
      </c>
      <c r="J35" s="4">
        <v>3</v>
      </c>
      <c r="K35" s="4">
        <v>2</v>
      </c>
      <c r="L35" s="4">
        <v>3</v>
      </c>
      <c r="M35" s="4">
        <v>2</v>
      </c>
      <c r="N35" s="4">
        <v>3</v>
      </c>
      <c r="O35" s="4">
        <v>2</v>
      </c>
      <c r="P35" s="4">
        <v>2</v>
      </c>
      <c r="Q35" s="4">
        <v>2</v>
      </c>
      <c r="R35" s="4">
        <v>3</v>
      </c>
    </row>
    <row r="36" spans="1:21" x14ac:dyDescent="0.35">
      <c r="A36" s="14" t="s">
        <v>157</v>
      </c>
      <c r="B36" s="4">
        <v>3</v>
      </c>
      <c r="C36" s="4">
        <v>3</v>
      </c>
      <c r="D36" s="4">
        <v>2</v>
      </c>
      <c r="E36" s="4">
        <v>3</v>
      </c>
      <c r="F36" s="4">
        <v>2</v>
      </c>
      <c r="G36" s="4">
        <v>3</v>
      </c>
      <c r="H36" s="4">
        <v>2</v>
      </c>
      <c r="I36" s="4">
        <v>3</v>
      </c>
      <c r="J36" s="4">
        <v>2</v>
      </c>
      <c r="K36" s="4">
        <v>2</v>
      </c>
      <c r="L36" s="4">
        <v>3</v>
      </c>
      <c r="M36" s="4">
        <v>2</v>
      </c>
      <c r="N36" s="4">
        <v>2</v>
      </c>
      <c r="O36" s="4">
        <v>2</v>
      </c>
      <c r="P36" s="4">
        <v>2</v>
      </c>
      <c r="Q36" s="4">
        <v>3</v>
      </c>
      <c r="R36" s="4">
        <v>2</v>
      </c>
    </row>
    <row r="37" spans="1:21" x14ac:dyDescent="0.35">
      <c r="A37" s="14" t="s">
        <v>160</v>
      </c>
      <c r="B37" s="4">
        <v>2</v>
      </c>
      <c r="C37" s="4">
        <v>2</v>
      </c>
      <c r="D37" s="4">
        <v>3</v>
      </c>
      <c r="E37" s="4">
        <v>2</v>
      </c>
      <c r="F37" s="4">
        <v>3</v>
      </c>
      <c r="G37" s="4">
        <v>3</v>
      </c>
      <c r="H37" s="4">
        <v>2</v>
      </c>
      <c r="I37" s="4">
        <v>2</v>
      </c>
      <c r="J37" s="4">
        <v>2</v>
      </c>
      <c r="K37" s="4">
        <v>2</v>
      </c>
      <c r="L37" s="4">
        <v>3</v>
      </c>
      <c r="M37" s="4">
        <v>3</v>
      </c>
      <c r="N37" s="4">
        <v>2</v>
      </c>
      <c r="O37" s="4">
        <v>3</v>
      </c>
      <c r="P37" s="4">
        <v>3</v>
      </c>
      <c r="Q37" s="4">
        <v>2</v>
      </c>
      <c r="R37" s="4">
        <v>2</v>
      </c>
    </row>
    <row r="38" spans="1:21" x14ac:dyDescent="0.35">
      <c r="A38" s="14" t="s">
        <v>163</v>
      </c>
      <c r="B38" s="4">
        <v>2</v>
      </c>
      <c r="C38" s="4">
        <v>2</v>
      </c>
      <c r="D38" s="4">
        <v>3</v>
      </c>
      <c r="E38" s="4">
        <v>2</v>
      </c>
      <c r="F38" s="4">
        <v>3</v>
      </c>
      <c r="G38" s="4">
        <v>2</v>
      </c>
      <c r="H38" s="4">
        <v>2</v>
      </c>
      <c r="I38" s="4">
        <v>2</v>
      </c>
      <c r="J38" s="4">
        <v>2</v>
      </c>
      <c r="K38" s="4">
        <v>2</v>
      </c>
      <c r="L38" s="4">
        <v>2</v>
      </c>
      <c r="M38" s="4">
        <v>3</v>
      </c>
      <c r="N38" s="4">
        <v>2</v>
      </c>
      <c r="O38" s="4">
        <v>3</v>
      </c>
      <c r="P38" s="4">
        <v>3</v>
      </c>
      <c r="Q38" s="4">
        <v>2</v>
      </c>
      <c r="R38" s="4">
        <v>2</v>
      </c>
    </row>
    <row r="39" spans="1:21" x14ac:dyDescent="0.35">
      <c r="A39" s="14" t="s">
        <v>166</v>
      </c>
      <c r="B39" s="4">
        <v>2</v>
      </c>
      <c r="C39" s="4">
        <v>2</v>
      </c>
      <c r="D39" s="4">
        <v>2</v>
      </c>
      <c r="E39" s="4">
        <v>2</v>
      </c>
      <c r="F39" s="4">
        <v>2</v>
      </c>
      <c r="G39" s="4">
        <v>2</v>
      </c>
      <c r="H39" s="4">
        <v>2</v>
      </c>
      <c r="I39" s="4">
        <v>2</v>
      </c>
      <c r="J39" s="4">
        <v>2</v>
      </c>
      <c r="K39" s="4">
        <v>2</v>
      </c>
      <c r="L39" s="4">
        <v>2</v>
      </c>
      <c r="M39" s="4">
        <v>2</v>
      </c>
      <c r="N39" s="4">
        <v>2</v>
      </c>
      <c r="O39" s="4">
        <v>2</v>
      </c>
      <c r="P39" s="4">
        <v>2</v>
      </c>
      <c r="Q39" s="4">
        <v>2</v>
      </c>
      <c r="R39" s="4">
        <v>2</v>
      </c>
    </row>
    <row r="40" spans="1:21" x14ac:dyDescent="0.35">
      <c r="A40" s="14" t="s">
        <v>169</v>
      </c>
      <c r="B40" s="4">
        <v>2</v>
      </c>
      <c r="C40" s="4">
        <v>2</v>
      </c>
      <c r="D40" s="4">
        <v>2</v>
      </c>
      <c r="E40" s="4">
        <v>2</v>
      </c>
      <c r="F40" s="4">
        <v>2</v>
      </c>
      <c r="G40" s="4">
        <v>3</v>
      </c>
      <c r="H40" s="4">
        <v>3</v>
      </c>
      <c r="I40" s="4">
        <v>2</v>
      </c>
      <c r="J40" s="4">
        <v>2</v>
      </c>
      <c r="K40" s="4">
        <v>2</v>
      </c>
      <c r="L40" s="4">
        <v>3</v>
      </c>
      <c r="M40" s="4">
        <v>2</v>
      </c>
      <c r="N40" s="4">
        <v>3</v>
      </c>
      <c r="O40" s="4">
        <v>2</v>
      </c>
      <c r="P40" s="4">
        <v>3</v>
      </c>
      <c r="Q40" s="4">
        <v>2</v>
      </c>
      <c r="R40" s="4">
        <v>2</v>
      </c>
    </row>
    <row r="41" spans="1:21" x14ac:dyDescent="0.35">
      <c r="A41" s="14" t="s">
        <v>172</v>
      </c>
      <c r="B41" s="4">
        <v>3</v>
      </c>
      <c r="C41" s="4">
        <v>3</v>
      </c>
      <c r="D41" s="4">
        <v>2</v>
      </c>
      <c r="E41" s="4">
        <v>2</v>
      </c>
      <c r="F41" s="4">
        <v>2</v>
      </c>
      <c r="G41" s="4">
        <v>2</v>
      </c>
      <c r="H41" s="4">
        <v>2</v>
      </c>
      <c r="I41" s="4">
        <v>3</v>
      </c>
      <c r="J41" s="4">
        <v>3</v>
      </c>
      <c r="K41" s="4">
        <v>2</v>
      </c>
      <c r="L41" s="4">
        <v>2</v>
      </c>
      <c r="M41" s="4">
        <v>2</v>
      </c>
      <c r="N41" s="4">
        <v>2</v>
      </c>
      <c r="O41" s="4">
        <v>2</v>
      </c>
      <c r="P41" s="4">
        <v>2</v>
      </c>
      <c r="Q41" s="4">
        <v>3</v>
      </c>
      <c r="R41" s="4">
        <v>2</v>
      </c>
    </row>
    <row r="42" spans="1:21" x14ac:dyDescent="0.35">
      <c r="A42" s="14" t="s">
        <v>175</v>
      </c>
      <c r="B42" s="4">
        <v>2</v>
      </c>
      <c r="C42" s="4">
        <v>2</v>
      </c>
      <c r="D42" s="4">
        <v>3</v>
      </c>
      <c r="E42" s="4">
        <v>3</v>
      </c>
      <c r="F42" s="4">
        <v>3</v>
      </c>
      <c r="G42" s="4">
        <v>2</v>
      </c>
      <c r="H42" s="4">
        <v>2</v>
      </c>
      <c r="I42" s="4">
        <v>2</v>
      </c>
      <c r="J42" s="4">
        <v>2</v>
      </c>
      <c r="K42" s="4">
        <v>3</v>
      </c>
      <c r="L42" s="4">
        <v>2</v>
      </c>
      <c r="M42" s="4">
        <v>3</v>
      </c>
      <c r="N42" s="4">
        <v>2</v>
      </c>
      <c r="O42" s="4">
        <v>3</v>
      </c>
      <c r="P42" s="4">
        <v>3</v>
      </c>
      <c r="Q42" s="4">
        <v>2</v>
      </c>
      <c r="R42" s="4">
        <v>3</v>
      </c>
    </row>
    <row r="43" spans="1:21" x14ac:dyDescent="0.35">
      <c r="A43" s="14" t="s">
        <v>178</v>
      </c>
      <c r="B43" s="4">
        <v>3</v>
      </c>
      <c r="C43" s="4">
        <v>2</v>
      </c>
      <c r="D43" s="4">
        <v>2</v>
      </c>
      <c r="E43" s="4">
        <v>2</v>
      </c>
      <c r="F43" s="4">
        <v>2</v>
      </c>
      <c r="G43" s="4">
        <v>3</v>
      </c>
      <c r="H43" s="4">
        <v>2</v>
      </c>
      <c r="I43" s="4">
        <v>3</v>
      </c>
      <c r="J43" s="4">
        <v>2</v>
      </c>
      <c r="K43" s="4">
        <v>2</v>
      </c>
      <c r="L43" s="4">
        <v>3</v>
      </c>
      <c r="M43" s="4">
        <v>2</v>
      </c>
      <c r="N43" s="4">
        <v>2</v>
      </c>
      <c r="O43" s="4">
        <v>2</v>
      </c>
      <c r="P43" s="4">
        <v>2</v>
      </c>
      <c r="Q43" s="4">
        <v>3</v>
      </c>
      <c r="R43" s="4">
        <v>2</v>
      </c>
    </row>
    <row r="44" spans="1:21" x14ac:dyDescent="0.35">
      <c r="A44" s="14" t="s">
        <v>181</v>
      </c>
      <c r="B44" s="4">
        <v>2</v>
      </c>
      <c r="C44" s="4">
        <v>2</v>
      </c>
      <c r="D44" s="4">
        <v>2</v>
      </c>
      <c r="E44" s="4">
        <v>2</v>
      </c>
      <c r="F44" s="4">
        <v>2</v>
      </c>
      <c r="G44" s="4">
        <v>2</v>
      </c>
      <c r="H44" s="4">
        <v>2</v>
      </c>
      <c r="I44" s="4">
        <v>2</v>
      </c>
      <c r="J44" s="4">
        <v>2</v>
      </c>
      <c r="K44" s="4">
        <v>2</v>
      </c>
      <c r="L44" s="4">
        <v>2</v>
      </c>
      <c r="M44" s="4">
        <v>2</v>
      </c>
      <c r="N44" s="4">
        <v>2</v>
      </c>
      <c r="O44" s="4">
        <v>2</v>
      </c>
      <c r="P44" s="4">
        <v>2</v>
      </c>
      <c r="Q44" s="4">
        <v>2</v>
      </c>
      <c r="R44" s="4">
        <v>2</v>
      </c>
    </row>
    <row r="45" spans="1:21" x14ac:dyDescent="0.35">
      <c r="A45" s="51" t="s">
        <v>209</v>
      </c>
      <c r="B45" s="41">
        <v>2</v>
      </c>
      <c r="C45" s="41">
        <v>1</v>
      </c>
      <c r="D45" s="41">
        <v>2</v>
      </c>
      <c r="E45" s="41">
        <v>2</v>
      </c>
      <c r="F45" s="41">
        <v>1</v>
      </c>
      <c r="G45" s="41">
        <v>2</v>
      </c>
      <c r="H45" s="41">
        <v>2</v>
      </c>
      <c r="I45" s="41">
        <v>2</v>
      </c>
      <c r="J45" s="41">
        <v>1</v>
      </c>
      <c r="K45" s="41">
        <v>2</v>
      </c>
      <c r="L45" s="41">
        <v>2</v>
      </c>
      <c r="M45" s="41">
        <v>2</v>
      </c>
      <c r="N45" s="41">
        <v>1</v>
      </c>
      <c r="O45" s="41">
        <v>2</v>
      </c>
      <c r="P45" s="41">
        <v>1</v>
      </c>
      <c r="Q45" s="41">
        <v>2</v>
      </c>
      <c r="R45" s="41">
        <v>1</v>
      </c>
      <c r="T45" s="34"/>
      <c r="U45" s="34"/>
    </row>
    <row r="46" spans="1:21" x14ac:dyDescent="0.35">
      <c r="A46" s="51" t="s">
        <v>212</v>
      </c>
      <c r="B46" s="41">
        <v>3</v>
      </c>
      <c r="C46" s="41">
        <v>2</v>
      </c>
      <c r="D46" s="41">
        <v>2</v>
      </c>
      <c r="E46" s="41">
        <v>2</v>
      </c>
      <c r="F46" s="41">
        <v>2</v>
      </c>
      <c r="G46" s="41">
        <v>2</v>
      </c>
      <c r="H46" s="41">
        <v>1</v>
      </c>
      <c r="I46" s="41">
        <v>3</v>
      </c>
      <c r="J46" s="41">
        <v>2</v>
      </c>
      <c r="K46" s="41">
        <v>2</v>
      </c>
      <c r="L46" s="41">
        <v>2</v>
      </c>
      <c r="M46" s="41">
        <v>2</v>
      </c>
      <c r="N46" s="41">
        <v>1</v>
      </c>
      <c r="O46" s="41">
        <v>2</v>
      </c>
      <c r="P46" s="41">
        <v>2</v>
      </c>
      <c r="Q46" s="41">
        <v>3</v>
      </c>
      <c r="R46" s="41">
        <v>2</v>
      </c>
      <c r="T46" s="34"/>
      <c r="U46" s="34"/>
    </row>
    <row r="47" spans="1:21" x14ac:dyDescent="0.35">
      <c r="A47" s="51" t="s">
        <v>215</v>
      </c>
      <c r="B47" s="41">
        <v>1</v>
      </c>
      <c r="C47" s="41">
        <v>2</v>
      </c>
      <c r="D47" s="41">
        <v>1</v>
      </c>
      <c r="E47" s="41">
        <v>2</v>
      </c>
      <c r="F47" s="41">
        <v>2</v>
      </c>
      <c r="G47" s="41">
        <v>1</v>
      </c>
      <c r="H47" s="41">
        <v>2</v>
      </c>
      <c r="I47" s="41">
        <v>2</v>
      </c>
      <c r="J47" s="41">
        <v>2</v>
      </c>
      <c r="K47" s="41">
        <v>1</v>
      </c>
      <c r="L47" s="41">
        <v>1</v>
      </c>
      <c r="M47" s="41">
        <v>2</v>
      </c>
      <c r="N47" s="41">
        <v>2</v>
      </c>
      <c r="O47" s="41">
        <v>1</v>
      </c>
      <c r="P47" s="41">
        <v>2</v>
      </c>
      <c r="Q47" s="41">
        <v>2</v>
      </c>
      <c r="R47" s="41">
        <v>1</v>
      </c>
      <c r="T47" s="34"/>
      <c r="U47" s="34"/>
    </row>
    <row r="48" spans="1:21" x14ac:dyDescent="0.35">
      <c r="A48" s="51" t="s">
        <v>218</v>
      </c>
      <c r="B48" s="41">
        <v>2</v>
      </c>
      <c r="C48" s="41">
        <v>3</v>
      </c>
      <c r="D48" s="41">
        <v>2</v>
      </c>
      <c r="E48" s="41">
        <v>2</v>
      </c>
      <c r="F48" s="41">
        <v>2</v>
      </c>
      <c r="G48" s="41">
        <v>2</v>
      </c>
      <c r="H48" s="41">
        <v>1</v>
      </c>
      <c r="I48" s="41">
        <v>2</v>
      </c>
      <c r="J48" s="41">
        <v>3</v>
      </c>
      <c r="K48" s="41">
        <v>2</v>
      </c>
      <c r="L48" s="41">
        <v>2</v>
      </c>
      <c r="M48" s="41">
        <v>2</v>
      </c>
      <c r="N48" s="41">
        <v>1</v>
      </c>
      <c r="O48" s="41">
        <v>2</v>
      </c>
      <c r="P48" s="41">
        <v>2</v>
      </c>
      <c r="Q48" s="41">
        <v>2</v>
      </c>
      <c r="R48" s="41">
        <v>2</v>
      </c>
      <c r="T48" s="34"/>
      <c r="U48" s="34"/>
    </row>
    <row r="49" spans="1:21" x14ac:dyDescent="0.35">
      <c r="A49" s="51" t="s">
        <v>221</v>
      </c>
      <c r="B49" s="41">
        <v>3</v>
      </c>
      <c r="C49" s="41">
        <v>2</v>
      </c>
      <c r="D49" s="41">
        <v>3</v>
      </c>
      <c r="E49" s="41">
        <v>2</v>
      </c>
      <c r="F49" s="41">
        <v>3</v>
      </c>
      <c r="G49" s="41">
        <v>2</v>
      </c>
      <c r="H49" s="41">
        <v>2</v>
      </c>
      <c r="I49" s="41">
        <v>3</v>
      </c>
      <c r="J49" s="41">
        <v>2</v>
      </c>
      <c r="K49" s="41">
        <v>2</v>
      </c>
      <c r="L49" s="41">
        <v>2</v>
      </c>
      <c r="M49" s="41">
        <v>3</v>
      </c>
      <c r="N49" s="41">
        <v>2</v>
      </c>
      <c r="O49" s="41">
        <v>3</v>
      </c>
      <c r="P49" s="41">
        <v>2</v>
      </c>
      <c r="Q49" s="41">
        <v>3</v>
      </c>
      <c r="R49" s="41">
        <v>2</v>
      </c>
      <c r="T49" s="34"/>
      <c r="U49" s="34"/>
    </row>
    <row r="51" spans="1:21" x14ac:dyDescent="0.35">
      <c r="A51" s="97" t="s">
        <v>76</v>
      </c>
      <c r="B51" s="97"/>
      <c r="C51" s="97"/>
      <c r="D51" s="97"/>
      <c r="E51" s="97"/>
      <c r="F51" s="97"/>
      <c r="G51" s="97"/>
      <c r="H51" s="97"/>
      <c r="I51" s="97"/>
      <c r="J51" s="97"/>
      <c r="K51" s="97"/>
      <c r="L51" s="97"/>
      <c r="M51" s="97"/>
      <c r="N51" s="97"/>
      <c r="O51" s="97"/>
      <c r="P51" s="97"/>
      <c r="Q51" s="97"/>
      <c r="R51" s="97"/>
    </row>
    <row r="52" spans="1:21" x14ac:dyDescent="0.35">
      <c r="A52" s="45" t="s">
        <v>106</v>
      </c>
      <c r="B52" s="37" t="s">
        <v>64</v>
      </c>
      <c r="C52" s="37" t="s">
        <v>19</v>
      </c>
      <c r="D52" s="37" t="s">
        <v>65</v>
      </c>
      <c r="E52" s="37" t="s">
        <v>20</v>
      </c>
      <c r="F52" s="37" t="s">
        <v>66</v>
      </c>
      <c r="G52" s="37" t="s">
        <v>27</v>
      </c>
      <c r="H52" s="37" t="s">
        <v>14</v>
      </c>
      <c r="I52" s="37" t="s">
        <v>67</v>
      </c>
      <c r="J52" s="37" t="s">
        <v>15</v>
      </c>
      <c r="K52" s="37" t="s">
        <v>21</v>
      </c>
      <c r="L52" s="37" t="s">
        <v>16</v>
      </c>
      <c r="M52" s="37" t="s">
        <v>17</v>
      </c>
      <c r="N52" s="37" t="s">
        <v>18</v>
      </c>
      <c r="O52" s="37" t="s">
        <v>30</v>
      </c>
      <c r="P52" s="37" t="s">
        <v>31</v>
      </c>
      <c r="Q52" s="37" t="s">
        <v>32</v>
      </c>
      <c r="R52" s="37" t="s">
        <v>33</v>
      </c>
    </row>
    <row r="53" spans="1:21" x14ac:dyDescent="0.35">
      <c r="A53" s="4" t="s">
        <v>130</v>
      </c>
      <c r="B53" s="4">
        <v>3</v>
      </c>
      <c r="C53" s="4">
        <v>2</v>
      </c>
      <c r="D53" s="4">
        <v>2</v>
      </c>
      <c r="E53" s="4">
        <v>2</v>
      </c>
      <c r="F53" s="4">
        <v>2</v>
      </c>
      <c r="G53" s="4">
        <v>3</v>
      </c>
      <c r="H53" s="4">
        <v>2</v>
      </c>
      <c r="I53" s="4">
        <v>3</v>
      </c>
      <c r="J53" s="4">
        <v>2</v>
      </c>
      <c r="K53" s="4">
        <v>3</v>
      </c>
      <c r="L53" s="4">
        <v>3</v>
      </c>
      <c r="M53" s="4">
        <v>2</v>
      </c>
      <c r="N53" s="4">
        <v>2</v>
      </c>
      <c r="O53" s="4">
        <v>2</v>
      </c>
      <c r="P53" s="4">
        <v>2</v>
      </c>
      <c r="Q53" s="4">
        <v>3</v>
      </c>
      <c r="R53" s="4">
        <v>2</v>
      </c>
    </row>
    <row r="54" spans="1:21" x14ac:dyDescent="0.35">
      <c r="A54" s="4" t="s">
        <v>134</v>
      </c>
      <c r="B54" s="4">
        <v>3</v>
      </c>
      <c r="C54" s="4">
        <v>2</v>
      </c>
      <c r="D54" s="4">
        <v>3</v>
      </c>
      <c r="E54" s="4">
        <v>2</v>
      </c>
      <c r="F54" s="4">
        <v>3</v>
      </c>
      <c r="G54" s="4">
        <v>2</v>
      </c>
      <c r="H54" s="4">
        <v>2</v>
      </c>
      <c r="I54" s="4">
        <v>3</v>
      </c>
      <c r="J54" s="4">
        <v>2</v>
      </c>
      <c r="K54" s="4">
        <v>2</v>
      </c>
      <c r="L54" s="4">
        <v>2</v>
      </c>
      <c r="M54" s="4">
        <v>3</v>
      </c>
      <c r="N54" s="4">
        <v>2</v>
      </c>
      <c r="O54" s="4">
        <v>3</v>
      </c>
      <c r="P54" s="4">
        <v>3</v>
      </c>
      <c r="Q54" s="4">
        <v>3</v>
      </c>
      <c r="R54" s="4">
        <v>2</v>
      </c>
    </row>
    <row r="55" spans="1:21" x14ac:dyDescent="0.35">
      <c r="A55" s="4" t="s">
        <v>137</v>
      </c>
      <c r="B55" s="4">
        <v>2</v>
      </c>
      <c r="C55" s="4">
        <v>2</v>
      </c>
      <c r="D55" s="4">
        <v>2</v>
      </c>
      <c r="E55" s="4">
        <v>3</v>
      </c>
      <c r="F55" s="4">
        <v>2</v>
      </c>
      <c r="G55" s="4">
        <v>2</v>
      </c>
      <c r="H55" s="4">
        <v>2</v>
      </c>
      <c r="I55" s="4">
        <v>2</v>
      </c>
      <c r="J55" s="4">
        <v>2</v>
      </c>
      <c r="K55" s="4">
        <v>3</v>
      </c>
      <c r="L55" s="4">
        <v>2</v>
      </c>
      <c r="M55" s="4">
        <v>2</v>
      </c>
      <c r="N55" s="4">
        <v>2</v>
      </c>
      <c r="O55" s="4">
        <v>2</v>
      </c>
      <c r="P55" s="4">
        <v>2</v>
      </c>
      <c r="Q55" s="4">
        <v>2</v>
      </c>
      <c r="R55" s="4">
        <v>3</v>
      </c>
    </row>
    <row r="56" spans="1:21" x14ac:dyDescent="0.35">
      <c r="A56" s="4" t="s">
        <v>140</v>
      </c>
      <c r="B56" s="4">
        <v>2</v>
      </c>
      <c r="C56" s="4">
        <v>2</v>
      </c>
      <c r="D56" s="4">
        <v>3</v>
      </c>
      <c r="E56" s="4">
        <v>2</v>
      </c>
      <c r="F56" s="4">
        <v>3</v>
      </c>
      <c r="G56" s="4">
        <v>2</v>
      </c>
      <c r="H56" s="4">
        <v>2</v>
      </c>
      <c r="I56" s="4">
        <v>2</v>
      </c>
      <c r="J56" s="4">
        <v>2</v>
      </c>
      <c r="K56" s="4">
        <v>2</v>
      </c>
      <c r="L56" s="4">
        <v>3</v>
      </c>
      <c r="M56" s="4">
        <v>3</v>
      </c>
      <c r="N56" s="4">
        <v>2</v>
      </c>
      <c r="O56" s="4">
        <v>3</v>
      </c>
      <c r="P56" s="4">
        <v>3</v>
      </c>
      <c r="Q56" s="4">
        <v>2</v>
      </c>
      <c r="R56" s="4">
        <v>2</v>
      </c>
    </row>
    <row r="57" spans="1:21" x14ac:dyDescent="0.35">
      <c r="A57" s="4" t="s">
        <v>143</v>
      </c>
      <c r="B57" s="4">
        <v>3</v>
      </c>
      <c r="C57" s="4">
        <v>2</v>
      </c>
      <c r="D57" s="4">
        <v>3</v>
      </c>
      <c r="E57" s="4">
        <v>2</v>
      </c>
      <c r="F57" s="4">
        <v>3</v>
      </c>
      <c r="G57" s="4">
        <v>2</v>
      </c>
      <c r="H57" s="4">
        <v>3</v>
      </c>
      <c r="I57" s="4">
        <v>2</v>
      </c>
      <c r="J57" s="4">
        <v>3</v>
      </c>
      <c r="K57" s="4">
        <v>2</v>
      </c>
      <c r="L57" s="4">
        <v>2</v>
      </c>
      <c r="M57" s="4">
        <v>2</v>
      </c>
      <c r="N57" s="4">
        <v>2</v>
      </c>
      <c r="O57" s="4">
        <v>2</v>
      </c>
      <c r="P57" s="4">
        <v>3</v>
      </c>
      <c r="Q57" s="4">
        <v>2</v>
      </c>
      <c r="R57" s="4">
        <v>2</v>
      </c>
    </row>
    <row r="58" spans="1:21" x14ac:dyDescent="0.35">
      <c r="A58" s="4" t="s">
        <v>146</v>
      </c>
      <c r="B58" s="4">
        <v>2</v>
      </c>
      <c r="C58" s="4">
        <v>2</v>
      </c>
      <c r="D58" s="4">
        <v>2</v>
      </c>
      <c r="E58" s="4">
        <v>2</v>
      </c>
      <c r="F58" s="4">
        <v>2</v>
      </c>
      <c r="G58" s="4">
        <v>2</v>
      </c>
      <c r="H58" s="4">
        <v>3</v>
      </c>
      <c r="I58" s="4">
        <v>2</v>
      </c>
      <c r="J58" s="4">
        <v>2</v>
      </c>
      <c r="K58" s="4">
        <v>2</v>
      </c>
      <c r="L58" s="4">
        <v>2</v>
      </c>
      <c r="M58" s="4">
        <v>3</v>
      </c>
      <c r="N58" s="4">
        <v>2</v>
      </c>
      <c r="O58" s="4">
        <v>2</v>
      </c>
      <c r="P58" s="4">
        <v>2</v>
      </c>
      <c r="Q58" s="4">
        <v>2</v>
      </c>
      <c r="R58" s="4">
        <v>2</v>
      </c>
    </row>
    <row r="59" spans="1:21" x14ac:dyDescent="0.35">
      <c r="A59" s="4" t="s">
        <v>149</v>
      </c>
      <c r="B59" s="4">
        <v>2</v>
      </c>
      <c r="C59" s="4">
        <v>3</v>
      </c>
      <c r="D59" s="4">
        <v>3</v>
      </c>
      <c r="E59" s="4">
        <v>2</v>
      </c>
      <c r="F59" s="4">
        <v>3</v>
      </c>
      <c r="G59" s="4">
        <v>2</v>
      </c>
      <c r="H59" s="4">
        <v>2</v>
      </c>
      <c r="I59" s="4">
        <v>2</v>
      </c>
      <c r="J59" s="4">
        <v>3</v>
      </c>
      <c r="K59" s="4">
        <v>2</v>
      </c>
      <c r="L59" s="4">
        <v>2</v>
      </c>
      <c r="M59" s="4">
        <v>3</v>
      </c>
      <c r="N59" s="4">
        <v>2</v>
      </c>
      <c r="O59" s="4">
        <v>3</v>
      </c>
      <c r="P59" s="4">
        <v>3</v>
      </c>
      <c r="Q59" s="4">
        <v>2</v>
      </c>
      <c r="R59" s="4">
        <v>2</v>
      </c>
    </row>
    <row r="61" spans="1:21" x14ac:dyDescent="0.35">
      <c r="A61" s="43" t="s">
        <v>236</v>
      </c>
      <c r="B61" s="45" t="s">
        <v>106</v>
      </c>
      <c r="C61" s="45" t="s">
        <v>49</v>
      </c>
      <c r="D61" s="45" t="s">
        <v>53</v>
      </c>
      <c r="E61" s="45" t="s">
        <v>58</v>
      </c>
      <c r="F61" s="45" t="s">
        <v>59</v>
      </c>
      <c r="G61" s="45" t="s">
        <v>88</v>
      </c>
      <c r="H61" s="45" t="s">
        <v>184</v>
      </c>
      <c r="I61" s="45" t="s">
        <v>185</v>
      </c>
      <c r="J61" s="42" t="s">
        <v>86</v>
      </c>
      <c r="K61" s="42" t="s">
        <v>87</v>
      </c>
      <c r="L61" s="42" t="s">
        <v>104</v>
      </c>
      <c r="M61" s="42" t="s">
        <v>191</v>
      </c>
      <c r="O61" s="42" t="s">
        <v>186</v>
      </c>
      <c r="P61" s="42" t="s">
        <v>187</v>
      </c>
      <c r="Q61" s="42" t="s">
        <v>188</v>
      </c>
    </row>
    <row r="62" spans="1:21" x14ac:dyDescent="0.35">
      <c r="A62" s="4">
        <v>1</v>
      </c>
      <c r="B62" s="14" t="s">
        <v>130</v>
      </c>
      <c r="C62" s="4">
        <f>SQRT(SUMXMY2(B27:R27, $B$53:$R$53))</f>
        <v>0</v>
      </c>
      <c r="D62" s="4">
        <f t="shared" ref="D62:D84" si="0">SQRT(SUMXMY2(B27:R27, $B$54:$R$54))</f>
        <v>2.8284271247461903</v>
      </c>
      <c r="E62" s="4">
        <f t="shared" ref="E62:E84" si="1">SQRT(SUMXMY2(B27:R27, $B$55:$R$55))</f>
        <v>2.6457513110645907</v>
      </c>
      <c r="F62" s="4">
        <f t="shared" ref="F62:F84" si="2">SQRT(SUMXMY2(B27:R27, $B$56:$R$56))</f>
        <v>3.1622776601683795</v>
      </c>
      <c r="G62" s="4">
        <f t="shared" ref="G62:G84" si="3">SQRT(SUMXMY2(B27:R27, $B$57:$R$57))</f>
        <v>3.1622776601683795</v>
      </c>
      <c r="H62" s="4">
        <f t="shared" ref="H62:H84" si="4">SQRT(SUMXMY2(B27:R27, $B$58:$R$58))</f>
        <v>2.8284271247461903</v>
      </c>
      <c r="I62" s="4">
        <f t="shared" ref="I62:I84" si="5">SQRT(SUMXMY2(B27:R27, $B$59:$R$59))</f>
        <v>3.6055512754639891</v>
      </c>
      <c r="J62" s="4">
        <f>MIN(C62:I62)</f>
        <v>0</v>
      </c>
      <c r="K62" s="4" t="str">
        <f>"C"&amp;MATCH(J62,C62:I62,0)</f>
        <v>C1</v>
      </c>
      <c r="L62" s="14">
        <f>J62^2</f>
        <v>0</v>
      </c>
      <c r="M62" s="14">
        <f>SUM(L62:L84)</f>
        <v>62</v>
      </c>
      <c r="O62" s="103" t="s">
        <v>49</v>
      </c>
      <c r="P62" s="52">
        <v>5</v>
      </c>
      <c r="Q62" s="4" t="s">
        <v>130</v>
      </c>
    </row>
    <row r="63" spans="1:21" x14ac:dyDescent="0.35">
      <c r="A63" s="4">
        <v>2</v>
      </c>
      <c r="B63" s="14" t="s">
        <v>134</v>
      </c>
      <c r="C63" s="4">
        <f t="shared" ref="C63:C84" si="6">SQRT(SUMXMY2(B28:R28, $B$53:$R$53))</f>
        <v>2.8284271247461903</v>
      </c>
      <c r="D63" s="4">
        <f t="shared" si="0"/>
        <v>0</v>
      </c>
      <c r="E63" s="4">
        <f t="shared" si="1"/>
        <v>3.3166247903553998</v>
      </c>
      <c r="F63" s="4">
        <f t="shared" si="2"/>
        <v>2</v>
      </c>
      <c r="G63" s="4">
        <f t="shared" si="3"/>
        <v>2.4494897427831779</v>
      </c>
      <c r="H63" s="4">
        <f t="shared" si="4"/>
        <v>2.8284271247461903</v>
      </c>
      <c r="I63" s="4">
        <f t="shared" si="5"/>
        <v>2.2360679774997898</v>
      </c>
      <c r="J63" s="4">
        <f t="shared" ref="J63:J84" si="7">MIN(C63:I63)</f>
        <v>0</v>
      </c>
      <c r="K63" s="4" t="str">
        <f t="shared" ref="K63:K84" si="8">"C"&amp;MATCH(J63,C63:I63,0)</f>
        <v>C2</v>
      </c>
      <c r="L63" s="14">
        <f t="shared" ref="L63:L83" si="9">J63^2</f>
        <v>0</v>
      </c>
      <c r="O63" s="104"/>
      <c r="P63" s="53"/>
      <c r="Q63" s="4" t="s">
        <v>157</v>
      </c>
    </row>
    <row r="64" spans="1:21" x14ac:dyDescent="0.35">
      <c r="A64" s="4">
        <v>3</v>
      </c>
      <c r="B64" s="14" t="s">
        <v>137</v>
      </c>
      <c r="C64" s="4">
        <f t="shared" si="6"/>
        <v>2.6457513110645907</v>
      </c>
      <c r="D64" s="4">
        <f t="shared" si="0"/>
        <v>3.3166247903553998</v>
      </c>
      <c r="E64" s="4">
        <f t="shared" si="1"/>
        <v>0</v>
      </c>
      <c r="F64" s="4">
        <f t="shared" si="2"/>
        <v>3</v>
      </c>
      <c r="G64" s="4">
        <f t="shared" si="3"/>
        <v>3</v>
      </c>
      <c r="H64" s="4">
        <f t="shared" si="4"/>
        <v>2.2360679774997898</v>
      </c>
      <c r="I64" s="4">
        <f t="shared" si="5"/>
        <v>3.1622776601683795</v>
      </c>
      <c r="J64" s="4">
        <f t="shared" si="7"/>
        <v>0</v>
      </c>
      <c r="K64" s="4" t="str">
        <f t="shared" si="8"/>
        <v>C3</v>
      </c>
      <c r="L64" s="14">
        <f t="shared" si="9"/>
        <v>0</v>
      </c>
      <c r="O64" s="104"/>
      <c r="P64" s="53"/>
      <c r="Q64" s="4" t="s">
        <v>172</v>
      </c>
    </row>
    <row r="65" spans="1:17" x14ac:dyDescent="0.35">
      <c r="A65" s="4">
        <v>4</v>
      </c>
      <c r="B65" s="14" t="s">
        <v>140</v>
      </c>
      <c r="C65" s="4">
        <f t="shared" si="6"/>
        <v>3.1622776601683795</v>
      </c>
      <c r="D65" s="4">
        <f t="shared" si="0"/>
        <v>2</v>
      </c>
      <c r="E65" s="4">
        <f t="shared" si="1"/>
        <v>3</v>
      </c>
      <c r="F65" s="4">
        <f t="shared" si="2"/>
        <v>0</v>
      </c>
      <c r="G65" s="4">
        <f t="shared" si="3"/>
        <v>2.4494897427831779</v>
      </c>
      <c r="H65" s="4">
        <f t="shared" si="4"/>
        <v>2.4494897427831779</v>
      </c>
      <c r="I65" s="4">
        <f t="shared" si="5"/>
        <v>1.7320508075688772</v>
      </c>
      <c r="J65" s="4">
        <f t="shared" si="7"/>
        <v>0</v>
      </c>
      <c r="K65" s="4" t="str">
        <f t="shared" si="8"/>
        <v>C4</v>
      </c>
      <c r="L65" s="14">
        <f t="shared" si="9"/>
        <v>0</v>
      </c>
      <c r="O65" s="104"/>
      <c r="P65" s="53"/>
      <c r="Q65" s="4" t="s">
        <v>178</v>
      </c>
    </row>
    <row r="66" spans="1:17" x14ac:dyDescent="0.35">
      <c r="A66" s="4">
        <v>5</v>
      </c>
      <c r="B66" s="14" t="s">
        <v>143</v>
      </c>
      <c r="C66" s="4">
        <f t="shared" si="6"/>
        <v>3.1622776601683795</v>
      </c>
      <c r="D66" s="4">
        <f t="shared" si="0"/>
        <v>2.4494897427831779</v>
      </c>
      <c r="E66" s="4">
        <f t="shared" si="1"/>
        <v>3</v>
      </c>
      <c r="F66" s="4">
        <f t="shared" si="2"/>
        <v>2.4494897427831779</v>
      </c>
      <c r="G66" s="4">
        <f t="shared" si="3"/>
        <v>0</v>
      </c>
      <c r="H66" s="4">
        <f t="shared" si="4"/>
        <v>2.4494897427831779</v>
      </c>
      <c r="I66" s="4">
        <f t="shared" si="5"/>
        <v>2.2360679774997898</v>
      </c>
      <c r="J66" s="4">
        <f t="shared" si="7"/>
        <v>0</v>
      </c>
      <c r="K66" s="4" t="str">
        <f t="shared" si="8"/>
        <v>C5</v>
      </c>
      <c r="L66" s="14">
        <f t="shared" si="9"/>
        <v>0</v>
      </c>
      <c r="O66" s="105"/>
      <c r="P66" s="54"/>
      <c r="Q66" s="4" t="s">
        <v>224</v>
      </c>
    </row>
    <row r="67" spans="1:17" x14ac:dyDescent="0.35">
      <c r="A67" s="4">
        <v>6</v>
      </c>
      <c r="B67" s="14" t="s">
        <v>146</v>
      </c>
      <c r="C67" s="4">
        <f t="shared" si="6"/>
        <v>2.8284271247461903</v>
      </c>
      <c r="D67" s="4">
        <f t="shared" si="0"/>
        <v>2.8284271247461903</v>
      </c>
      <c r="E67" s="4">
        <f t="shared" si="1"/>
        <v>2.2360679774997898</v>
      </c>
      <c r="F67" s="4">
        <f t="shared" si="2"/>
        <v>2.4494897427831779</v>
      </c>
      <c r="G67" s="4">
        <f t="shared" si="3"/>
        <v>2.4494897427831779</v>
      </c>
      <c r="H67" s="4">
        <f t="shared" si="4"/>
        <v>0</v>
      </c>
      <c r="I67" s="4">
        <f t="shared" si="5"/>
        <v>2.6457513110645907</v>
      </c>
      <c r="J67" s="4">
        <f t="shared" si="7"/>
        <v>0</v>
      </c>
      <c r="K67" s="4" t="str">
        <f t="shared" si="8"/>
        <v>C6</v>
      </c>
      <c r="L67" s="14">
        <f t="shared" si="9"/>
        <v>0</v>
      </c>
      <c r="O67" s="103" t="s">
        <v>53</v>
      </c>
      <c r="P67" s="52">
        <v>2</v>
      </c>
      <c r="Q67" s="4" t="s">
        <v>134</v>
      </c>
    </row>
    <row r="68" spans="1:17" x14ac:dyDescent="0.35">
      <c r="A68" s="4">
        <v>7</v>
      </c>
      <c r="B68" s="14" t="s">
        <v>149</v>
      </c>
      <c r="C68" s="4">
        <f t="shared" si="6"/>
        <v>3.6055512754639891</v>
      </c>
      <c r="D68" s="4">
        <f t="shared" si="0"/>
        <v>2.2360679774997898</v>
      </c>
      <c r="E68" s="4">
        <f t="shared" si="1"/>
        <v>3.1622776601683795</v>
      </c>
      <c r="F68" s="4">
        <f t="shared" si="2"/>
        <v>1.7320508075688772</v>
      </c>
      <c r="G68" s="4">
        <f t="shared" si="3"/>
        <v>2.2360679774997898</v>
      </c>
      <c r="H68" s="4">
        <f t="shared" si="4"/>
        <v>2.6457513110645907</v>
      </c>
      <c r="I68" s="4">
        <f t="shared" si="5"/>
        <v>0</v>
      </c>
      <c r="J68" s="4">
        <f t="shared" si="7"/>
        <v>0</v>
      </c>
      <c r="K68" s="4" t="str">
        <f t="shared" si="8"/>
        <v>C7</v>
      </c>
      <c r="L68" s="14">
        <f t="shared" si="9"/>
        <v>0</v>
      </c>
      <c r="O68" s="105"/>
      <c r="P68" s="54"/>
      <c r="Q68" s="4" t="s">
        <v>225</v>
      </c>
    </row>
    <row r="69" spans="1:17" x14ac:dyDescent="0.35">
      <c r="A69" s="4">
        <v>8</v>
      </c>
      <c r="B69" s="14" t="s">
        <v>151</v>
      </c>
      <c r="C69" s="4">
        <f t="shared" si="6"/>
        <v>2</v>
      </c>
      <c r="D69" s="4">
        <f t="shared" si="0"/>
        <v>2.8284271247461903</v>
      </c>
      <c r="E69" s="4">
        <f t="shared" si="1"/>
        <v>1.7320508075688772</v>
      </c>
      <c r="F69" s="4">
        <f t="shared" si="2"/>
        <v>3.4641016151377544</v>
      </c>
      <c r="G69" s="4">
        <f t="shared" si="3"/>
        <v>3.1622776601683795</v>
      </c>
      <c r="H69" s="4">
        <f t="shared" si="4"/>
        <v>2.8284271247461903</v>
      </c>
      <c r="I69" s="4">
        <f t="shared" si="5"/>
        <v>3.6055512754639891</v>
      </c>
      <c r="J69" s="4">
        <f t="shared" si="7"/>
        <v>1.7320508075688772</v>
      </c>
      <c r="K69" s="4" t="str">
        <f t="shared" si="8"/>
        <v>C3</v>
      </c>
      <c r="L69" s="14">
        <f t="shared" si="9"/>
        <v>2.9999999999999996</v>
      </c>
      <c r="O69" s="103" t="s">
        <v>58</v>
      </c>
      <c r="P69" s="52">
        <v>4</v>
      </c>
      <c r="Q69" s="4" t="s">
        <v>189</v>
      </c>
    </row>
    <row r="70" spans="1:17" x14ac:dyDescent="0.35">
      <c r="A70" s="4">
        <v>9</v>
      </c>
      <c r="B70" s="14" t="s">
        <v>154</v>
      </c>
      <c r="C70" s="4">
        <f t="shared" si="6"/>
        <v>2.8284271247461903</v>
      </c>
      <c r="D70" s="4">
        <f t="shared" si="0"/>
        <v>3.4641016151377544</v>
      </c>
      <c r="E70" s="4">
        <f t="shared" si="1"/>
        <v>2.2360679774997898</v>
      </c>
      <c r="F70" s="4">
        <f t="shared" si="2"/>
        <v>2.8284271247461903</v>
      </c>
      <c r="G70" s="4">
        <f t="shared" si="3"/>
        <v>2.8284271247461903</v>
      </c>
      <c r="H70" s="4">
        <f t="shared" si="4"/>
        <v>2.4494897427831779</v>
      </c>
      <c r="I70" s="4">
        <f t="shared" si="5"/>
        <v>3</v>
      </c>
      <c r="J70" s="4">
        <f t="shared" si="7"/>
        <v>2.2360679774997898</v>
      </c>
      <c r="K70" s="4" t="str">
        <f t="shared" si="8"/>
        <v>C3</v>
      </c>
      <c r="L70" s="14">
        <f t="shared" si="9"/>
        <v>5.0000000000000009</v>
      </c>
      <c r="O70" s="104"/>
      <c r="P70" s="53"/>
      <c r="Q70" s="4" t="s">
        <v>151</v>
      </c>
    </row>
    <row r="71" spans="1:17" x14ac:dyDescent="0.35">
      <c r="A71" s="4">
        <v>10</v>
      </c>
      <c r="B71" s="14" t="s">
        <v>157</v>
      </c>
      <c r="C71" s="4">
        <f t="shared" si="6"/>
        <v>1.7320508075688772</v>
      </c>
      <c r="D71" s="4">
        <f t="shared" si="0"/>
        <v>3</v>
      </c>
      <c r="E71" s="4">
        <f t="shared" si="1"/>
        <v>2.8284271247461903</v>
      </c>
      <c r="F71" s="4">
        <f t="shared" si="2"/>
        <v>3.3166247903553998</v>
      </c>
      <c r="G71" s="4">
        <f t="shared" si="3"/>
        <v>3.3166247903553998</v>
      </c>
      <c r="H71" s="4">
        <f t="shared" si="4"/>
        <v>3</v>
      </c>
      <c r="I71" s="4">
        <f t="shared" si="5"/>
        <v>3.4641016151377544</v>
      </c>
      <c r="J71" s="4">
        <f t="shared" si="7"/>
        <v>1.7320508075688772</v>
      </c>
      <c r="K71" s="4" t="str">
        <f t="shared" si="8"/>
        <v>C1</v>
      </c>
      <c r="L71" s="14">
        <f t="shared" si="9"/>
        <v>2.9999999999999996</v>
      </c>
      <c r="O71" s="104"/>
      <c r="P71" s="53"/>
      <c r="Q71" s="4" t="s">
        <v>154</v>
      </c>
    </row>
    <row r="72" spans="1:17" x14ac:dyDescent="0.35">
      <c r="A72" s="4">
        <v>11</v>
      </c>
      <c r="B72" s="14" t="s">
        <v>160</v>
      </c>
      <c r="C72" s="4">
        <f t="shared" si="6"/>
        <v>3</v>
      </c>
      <c r="D72" s="4">
        <f t="shared" si="0"/>
        <v>2.2360679774997898</v>
      </c>
      <c r="E72" s="4">
        <f t="shared" si="1"/>
        <v>3.1622776601683795</v>
      </c>
      <c r="F72" s="4">
        <f t="shared" si="2"/>
        <v>1</v>
      </c>
      <c r="G72" s="4">
        <f t="shared" si="3"/>
        <v>2.6457513110645907</v>
      </c>
      <c r="H72" s="4">
        <f t="shared" si="4"/>
        <v>2.6457513110645907</v>
      </c>
      <c r="I72" s="4">
        <f t="shared" si="5"/>
        <v>2</v>
      </c>
      <c r="J72" s="4">
        <f t="shared" si="7"/>
        <v>1</v>
      </c>
      <c r="K72" s="4" t="str">
        <f t="shared" si="8"/>
        <v>C4</v>
      </c>
      <c r="L72" s="14">
        <f t="shared" si="9"/>
        <v>1</v>
      </c>
      <c r="O72" s="105"/>
      <c r="P72" s="54"/>
      <c r="Q72" s="4" t="s">
        <v>226</v>
      </c>
    </row>
    <row r="73" spans="1:17" x14ac:dyDescent="0.35">
      <c r="A73" s="4">
        <v>12</v>
      </c>
      <c r="B73" s="14" t="s">
        <v>163</v>
      </c>
      <c r="C73" s="4">
        <f t="shared" si="6"/>
        <v>3.3166247903553998</v>
      </c>
      <c r="D73" s="4">
        <f t="shared" si="0"/>
        <v>1.7320508075688772</v>
      </c>
      <c r="E73" s="4">
        <f t="shared" si="1"/>
        <v>2.8284271247461903</v>
      </c>
      <c r="F73" s="4">
        <f t="shared" si="2"/>
        <v>1</v>
      </c>
      <c r="G73" s="4">
        <f t="shared" si="3"/>
        <v>2.2360679774997898</v>
      </c>
      <c r="H73" s="4">
        <f t="shared" si="4"/>
        <v>2.2360679774997898</v>
      </c>
      <c r="I73" s="4">
        <f t="shared" si="5"/>
        <v>1.4142135623730951</v>
      </c>
      <c r="J73" s="4">
        <f t="shared" si="7"/>
        <v>1</v>
      </c>
      <c r="K73" s="4" t="str">
        <f t="shared" si="8"/>
        <v>C4</v>
      </c>
      <c r="L73" s="14">
        <f t="shared" si="9"/>
        <v>1</v>
      </c>
      <c r="O73" s="103" t="s">
        <v>59</v>
      </c>
      <c r="P73" s="52">
        <v>4</v>
      </c>
      <c r="Q73" s="4" t="s">
        <v>140</v>
      </c>
    </row>
    <row r="74" spans="1:17" x14ac:dyDescent="0.35">
      <c r="A74" s="4">
        <v>13</v>
      </c>
      <c r="B74" s="14" t="s">
        <v>166</v>
      </c>
      <c r="C74" s="4">
        <f t="shared" si="6"/>
        <v>2.4494897427831779</v>
      </c>
      <c r="D74" s="4">
        <f t="shared" si="0"/>
        <v>2.8284271247461903</v>
      </c>
      <c r="E74" s="4">
        <f t="shared" si="1"/>
        <v>1.7320508075688772</v>
      </c>
      <c r="F74" s="4">
        <f t="shared" si="2"/>
        <v>2.4494897427831779</v>
      </c>
      <c r="G74" s="4">
        <f t="shared" si="3"/>
        <v>2.4494897427831779</v>
      </c>
      <c r="H74" s="4">
        <f t="shared" si="4"/>
        <v>1.4142135623730951</v>
      </c>
      <c r="I74" s="4">
        <f t="shared" si="5"/>
        <v>2.6457513110645907</v>
      </c>
      <c r="J74" s="4">
        <f t="shared" si="7"/>
        <v>1.4142135623730951</v>
      </c>
      <c r="K74" s="4" t="str">
        <f t="shared" si="8"/>
        <v>C6</v>
      </c>
      <c r="L74" s="14">
        <f t="shared" si="9"/>
        <v>2.0000000000000004</v>
      </c>
      <c r="O74" s="104"/>
      <c r="P74" s="53"/>
      <c r="Q74" s="4" t="s">
        <v>160</v>
      </c>
    </row>
    <row r="75" spans="1:17" x14ac:dyDescent="0.35">
      <c r="A75" s="4">
        <v>14</v>
      </c>
      <c r="B75" s="14" t="s">
        <v>169</v>
      </c>
      <c r="C75" s="4">
        <f t="shared" si="6"/>
        <v>2.6457513110645907</v>
      </c>
      <c r="D75" s="4">
        <f t="shared" si="0"/>
        <v>3.3166247903553998</v>
      </c>
      <c r="E75" s="4">
        <f t="shared" si="1"/>
        <v>2.8284271247461903</v>
      </c>
      <c r="F75" s="4">
        <f t="shared" si="2"/>
        <v>2.6457513110645907</v>
      </c>
      <c r="G75" s="4">
        <f t="shared" si="3"/>
        <v>2.6457513110645907</v>
      </c>
      <c r="H75" s="4">
        <f t="shared" si="4"/>
        <v>2.2360679774997898</v>
      </c>
      <c r="I75" s="4">
        <f t="shared" si="5"/>
        <v>3.1622776601683795</v>
      </c>
      <c r="J75" s="4">
        <f t="shared" si="7"/>
        <v>2.2360679774997898</v>
      </c>
      <c r="K75" s="4" t="str">
        <f t="shared" si="8"/>
        <v>C6</v>
      </c>
      <c r="L75" s="14">
        <f t="shared" si="9"/>
        <v>5.0000000000000009</v>
      </c>
      <c r="O75" s="104"/>
      <c r="P75" s="53"/>
      <c r="Q75" s="4" t="s">
        <v>163</v>
      </c>
    </row>
    <row r="76" spans="1:17" x14ac:dyDescent="0.35">
      <c r="A76" s="4">
        <v>15</v>
      </c>
      <c r="B76" s="14" t="s">
        <v>172</v>
      </c>
      <c r="C76" s="4">
        <f t="shared" si="6"/>
        <v>2.2360679774997898</v>
      </c>
      <c r="D76" s="4">
        <f t="shared" si="0"/>
        <v>2.6457513110645907</v>
      </c>
      <c r="E76" s="4">
        <f t="shared" si="1"/>
        <v>2.8284271247461903</v>
      </c>
      <c r="F76" s="4">
        <f t="shared" si="2"/>
        <v>3.3166247903553998</v>
      </c>
      <c r="G76" s="4">
        <f t="shared" si="3"/>
        <v>2.6457513110645907</v>
      </c>
      <c r="H76" s="4">
        <f t="shared" si="4"/>
        <v>2.6457513110645907</v>
      </c>
      <c r="I76" s="4">
        <f t="shared" si="5"/>
        <v>2.8284271247461903</v>
      </c>
      <c r="J76" s="4">
        <f t="shared" si="7"/>
        <v>2.2360679774997898</v>
      </c>
      <c r="K76" s="4" t="str">
        <f t="shared" si="8"/>
        <v>C1</v>
      </c>
      <c r="L76" s="14">
        <f t="shared" si="9"/>
        <v>5.0000000000000009</v>
      </c>
      <c r="O76" s="105"/>
      <c r="P76" s="54"/>
      <c r="Q76" s="4" t="s">
        <v>175</v>
      </c>
    </row>
    <row r="77" spans="1:17" x14ac:dyDescent="0.35">
      <c r="A77" s="4">
        <v>16</v>
      </c>
      <c r="B77" s="14" t="s">
        <v>175</v>
      </c>
      <c r="C77" s="4">
        <f t="shared" si="6"/>
        <v>3.4641016151377544</v>
      </c>
      <c r="D77" s="4">
        <f t="shared" si="0"/>
        <v>2.4494897427831779</v>
      </c>
      <c r="E77" s="4">
        <f t="shared" si="1"/>
        <v>2.2360679774997898</v>
      </c>
      <c r="F77" s="4">
        <f t="shared" si="2"/>
        <v>2</v>
      </c>
      <c r="G77" s="4">
        <f t="shared" si="3"/>
        <v>2.8284271247461903</v>
      </c>
      <c r="H77" s="4">
        <f t="shared" si="4"/>
        <v>2.8284271247461903</v>
      </c>
      <c r="I77" s="4">
        <f t="shared" si="5"/>
        <v>2.2360679774997898</v>
      </c>
      <c r="J77" s="4">
        <f t="shared" si="7"/>
        <v>2</v>
      </c>
      <c r="K77" s="4" t="str">
        <f t="shared" si="8"/>
        <v>C4</v>
      </c>
      <c r="L77" s="14">
        <f t="shared" si="9"/>
        <v>4</v>
      </c>
      <c r="O77" s="41" t="s">
        <v>88</v>
      </c>
      <c r="P77" s="41">
        <v>1</v>
      </c>
      <c r="Q77" s="4" t="s">
        <v>143</v>
      </c>
    </row>
    <row r="78" spans="1:17" x14ac:dyDescent="0.35">
      <c r="A78" s="4">
        <v>17</v>
      </c>
      <c r="B78" s="14" t="s">
        <v>178</v>
      </c>
      <c r="C78" s="4">
        <f t="shared" si="6"/>
        <v>1</v>
      </c>
      <c r="D78" s="4">
        <f t="shared" si="0"/>
        <v>2.6457513110645907</v>
      </c>
      <c r="E78" s="4">
        <f t="shared" si="1"/>
        <v>2.8284271247461903</v>
      </c>
      <c r="F78" s="4">
        <f t="shared" si="2"/>
        <v>3</v>
      </c>
      <c r="G78" s="4">
        <f t="shared" si="3"/>
        <v>3</v>
      </c>
      <c r="H78" s="4">
        <f t="shared" si="4"/>
        <v>2.6457513110645907</v>
      </c>
      <c r="I78" s="4">
        <f t="shared" si="5"/>
        <v>3.4641016151377544</v>
      </c>
      <c r="J78" s="4">
        <f t="shared" si="7"/>
        <v>1</v>
      </c>
      <c r="K78" s="4" t="str">
        <f t="shared" si="8"/>
        <v>C1</v>
      </c>
      <c r="L78" s="14">
        <f t="shared" si="9"/>
        <v>1</v>
      </c>
      <c r="O78" s="72" t="s">
        <v>184</v>
      </c>
      <c r="P78" s="41">
        <v>6</v>
      </c>
      <c r="Q78" s="4" t="s">
        <v>146</v>
      </c>
    </row>
    <row r="79" spans="1:17" x14ac:dyDescent="0.35">
      <c r="A79" s="4">
        <v>18</v>
      </c>
      <c r="B79" s="14" t="s">
        <v>181</v>
      </c>
      <c r="C79" s="4">
        <f t="shared" si="6"/>
        <v>2.4494897427831779</v>
      </c>
      <c r="D79" s="4">
        <f t="shared" si="0"/>
        <v>2.8284271247461903</v>
      </c>
      <c r="E79" s="4">
        <f t="shared" si="1"/>
        <v>1.7320508075688772</v>
      </c>
      <c r="F79" s="4">
        <f t="shared" si="2"/>
        <v>2.4494897427831779</v>
      </c>
      <c r="G79" s="4">
        <f t="shared" si="3"/>
        <v>2.4494897427831779</v>
      </c>
      <c r="H79" s="4">
        <f t="shared" si="4"/>
        <v>1.4142135623730951</v>
      </c>
      <c r="I79" s="4">
        <f t="shared" si="5"/>
        <v>2.6457513110645907</v>
      </c>
      <c r="J79" s="4">
        <f t="shared" si="7"/>
        <v>1.4142135623730951</v>
      </c>
      <c r="K79" s="4" t="str">
        <f t="shared" si="8"/>
        <v>C6</v>
      </c>
      <c r="L79" s="14">
        <f t="shared" si="9"/>
        <v>2.0000000000000004</v>
      </c>
      <c r="O79" s="72"/>
      <c r="P79" s="41"/>
      <c r="Q79" s="4" t="s">
        <v>166</v>
      </c>
    </row>
    <row r="80" spans="1:17" x14ac:dyDescent="0.35">
      <c r="A80" s="4">
        <v>19</v>
      </c>
      <c r="B80" s="51" t="s">
        <v>209</v>
      </c>
      <c r="C80" s="4">
        <f t="shared" si="6"/>
        <v>3.4641016151377544</v>
      </c>
      <c r="D80" s="4">
        <f t="shared" si="0"/>
        <v>4.2426406871192848</v>
      </c>
      <c r="E80" s="4">
        <f t="shared" si="1"/>
        <v>3.3166247903553998</v>
      </c>
      <c r="F80" s="4">
        <f t="shared" si="2"/>
        <v>4</v>
      </c>
      <c r="G80" s="4">
        <f t="shared" si="3"/>
        <v>4.2426406871192848</v>
      </c>
      <c r="H80" s="4">
        <f t="shared" si="4"/>
        <v>2.8284271247461903</v>
      </c>
      <c r="I80" s="4">
        <f t="shared" si="5"/>
        <v>4.5825756949558398</v>
      </c>
      <c r="J80" s="4">
        <f t="shared" si="7"/>
        <v>2.8284271247461903</v>
      </c>
      <c r="K80" s="4" t="str">
        <f t="shared" si="8"/>
        <v>C6</v>
      </c>
      <c r="L80" s="14">
        <f t="shared" si="9"/>
        <v>8.0000000000000018</v>
      </c>
      <c r="O80" s="72"/>
      <c r="P80" s="41"/>
      <c r="Q80" s="4" t="s">
        <v>169</v>
      </c>
    </row>
    <row r="81" spans="1:18" x14ac:dyDescent="0.35">
      <c r="A81" s="4">
        <v>20</v>
      </c>
      <c r="B81" s="51" t="s">
        <v>212</v>
      </c>
      <c r="C81" s="4">
        <f t="shared" si="6"/>
        <v>2.2360679774997898</v>
      </c>
      <c r="D81" s="4">
        <f t="shared" si="0"/>
        <v>2.6457513110645907</v>
      </c>
      <c r="E81" s="4">
        <f t="shared" si="1"/>
        <v>2.8284271247461903</v>
      </c>
      <c r="F81" s="4">
        <f t="shared" si="2"/>
        <v>3.3166247903553998</v>
      </c>
      <c r="G81" s="4">
        <f t="shared" si="3"/>
        <v>3.3166247903553998</v>
      </c>
      <c r="H81" s="4">
        <f t="shared" si="4"/>
        <v>3</v>
      </c>
      <c r="I81" s="4">
        <f t="shared" si="5"/>
        <v>3.4641016151377544</v>
      </c>
      <c r="J81" s="4">
        <f t="shared" si="7"/>
        <v>2.2360679774997898</v>
      </c>
      <c r="K81" s="4" t="str">
        <f t="shared" si="8"/>
        <v>C1</v>
      </c>
      <c r="L81" s="14">
        <f t="shared" si="9"/>
        <v>5.0000000000000009</v>
      </c>
      <c r="O81" s="72"/>
      <c r="P81" s="41"/>
      <c r="Q81" s="4" t="s">
        <v>181</v>
      </c>
    </row>
    <row r="82" spans="1:18" x14ac:dyDescent="0.35">
      <c r="A82" s="4">
        <v>21</v>
      </c>
      <c r="B82" s="51" t="s">
        <v>215</v>
      </c>
      <c r="C82" s="4">
        <f t="shared" si="6"/>
        <v>4.5825756949558398</v>
      </c>
      <c r="D82" s="4">
        <f t="shared" si="0"/>
        <v>4.5825756949558398</v>
      </c>
      <c r="E82" s="4">
        <f t="shared" si="1"/>
        <v>3.7416573867739413</v>
      </c>
      <c r="F82" s="4">
        <f t="shared" si="2"/>
        <v>4.358898943540674</v>
      </c>
      <c r="G82" s="4">
        <f t="shared" si="3"/>
        <v>4.1231056256176606</v>
      </c>
      <c r="H82" s="4">
        <f t="shared" si="4"/>
        <v>3</v>
      </c>
      <c r="I82" s="4">
        <f t="shared" si="5"/>
        <v>4.2426406871192848</v>
      </c>
      <c r="J82" s="4">
        <f t="shared" si="7"/>
        <v>3</v>
      </c>
      <c r="K82" s="4" t="str">
        <f t="shared" si="8"/>
        <v>C6</v>
      </c>
      <c r="L82" s="14">
        <f t="shared" si="9"/>
        <v>9</v>
      </c>
      <c r="O82" s="72"/>
      <c r="P82" s="41"/>
      <c r="Q82" s="4" t="s">
        <v>227</v>
      </c>
    </row>
    <row r="83" spans="1:18" x14ac:dyDescent="0.35">
      <c r="A83" s="4">
        <v>22</v>
      </c>
      <c r="B83" s="51" t="s">
        <v>218</v>
      </c>
      <c r="C83" s="4">
        <f t="shared" si="6"/>
        <v>3.1622776601683795</v>
      </c>
      <c r="D83" s="4">
        <f t="shared" si="0"/>
        <v>3.4641016151377544</v>
      </c>
      <c r="E83" s="4">
        <f t="shared" si="1"/>
        <v>2.6457513110645907</v>
      </c>
      <c r="F83" s="4">
        <f t="shared" si="2"/>
        <v>3.1622776601683795</v>
      </c>
      <c r="G83" s="4">
        <f t="shared" si="3"/>
        <v>3.1622776601683795</v>
      </c>
      <c r="H83" s="4">
        <f t="shared" si="4"/>
        <v>2.8284271247461903</v>
      </c>
      <c r="I83" s="4">
        <f t="shared" si="5"/>
        <v>2.6457513110645907</v>
      </c>
      <c r="J83" s="4">
        <f t="shared" si="7"/>
        <v>2.6457513110645907</v>
      </c>
      <c r="K83" s="4" t="str">
        <f t="shared" si="8"/>
        <v>C3</v>
      </c>
      <c r="L83" s="14">
        <f t="shared" si="9"/>
        <v>7.0000000000000009</v>
      </c>
      <c r="O83" s="72"/>
      <c r="P83" s="41"/>
      <c r="Q83" s="4" t="s">
        <v>215</v>
      </c>
    </row>
    <row r="84" spans="1:18" x14ac:dyDescent="0.35">
      <c r="A84" s="4">
        <v>23</v>
      </c>
      <c r="B84" s="51" t="s">
        <v>221</v>
      </c>
      <c r="C84" s="4">
        <f t="shared" si="6"/>
        <v>2.6457513110645907</v>
      </c>
      <c r="D84" s="4">
        <f t="shared" si="0"/>
        <v>1</v>
      </c>
      <c r="E84" s="4">
        <f t="shared" si="1"/>
        <v>3.1622776601683795</v>
      </c>
      <c r="F84" s="4">
        <f t="shared" si="2"/>
        <v>2.2360679774997898</v>
      </c>
      <c r="G84" s="4">
        <f t="shared" si="3"/>
        <v>2.6457513110645907</v>
      </c>
      <c r="H84" s="4">
        <f t="shared" si="4"/>
        <v>2.6457513110645907</v>
      </c>
      <c r="I84" s="4">
        <f t="shared" si="5"/>
        <v>2.4494897427831779</v>
      </c>
      <c r="J84" s="4">
        <f t="shared" si="7"/>
        <v>1</v>
      </c>
      <c r="K84" s="4" t="str">
        <f t="shared" si="8"/>
        <v>C2</v>
      </c>
      <c r="L84" s="14">
        <f>J84^2</f>
        <v>1</v>
      </c>
      <c r="O84" s="4" t="s">
        <v>185</v>
      </c>
      <c r="P84" s="4">
        <v>1</v>
      </c>
      <c r="Q84" s="4" t="s">
        <v>149</v>
      </c>
    </row>
    <row r="87" spans="1:18" ht="15" thickBot="1" x14ac:dyDescent="0.4">
      <c r="A87" s="97" t="s">
        <v>94</v>
      </c>
      <c r="B87" s="97"/>
      <c r="C87" s="97"/>
      <c r="D87" s="97"/>
      <c r="E87" s="97"/>
      <c r="F87" s="97"/>
      <c r="G87" s="97"/>
      <c r="H87" s="97"/>
      <c r="I87" s="97"/>
      <c r="J87" s="97"/>
      <c r="K87" s="97"/>
      <c r="L87" s="97"/>
      <c r="M87" s="97"/>
      <c r="N87" s="97"/>
      <c r="O87" s="97"/>
      <c r="P87" s="97"/>
      <c r="Q87" s="97"/>
      <c r="R87" s="97"/>
    </row>
    <row r="88" spans="1:18" ht="16" thickBot="1" x14ac:dyDescent="0.4">
      <c r="A88" s="46" t="s">
        <v>47</v>
      </c>
      <c r="B88" s="47" t="s">
        <v>192</v>
      </c>
      <c r="C88" s="48" t="s">
        <v>193</v>
      </c>
      <c r="D88" s="48" t="s">
        <v>194</v>
      </c>
      <c r="E88" s="48" t="s">
        <v>195</v>
      </c>
      <c r="F88" s="48" t="s">
        <v>196</v>
      </c>
      <c r="G88" s="48" t="s">
        <v>197</v>
      </c>
      <c r="H88" s="48" t="s">
        <v>198</v>
      </c>
      <c r="I88" s="48" t="s">
        <v>199</v>
      </c>
      <c r="J88" s="48" t="s">
        <v>200</v>
      </c>
      <c r="K88" s="48" t="s">
        <v>201</v>
      </c>
      <c r="L88" s="48" t="s">
        <v>202</v>
      </c>
      <c r="M88" s="48" t="s">
        <v>203</v>
      </c>
      <c r="N88" s="48" t="s">
        <v>204</v>
      </c>
      <c r="O88" s="48" t="s">
        <v>205</v>
      </c>
      <c r="P88" s="48" t="s">
        <v>206</v>
      </c>
      <c r="Q88" s="48" t="s">
        <v>207</v>
      </c>
      <c r="R88" s="48" t="s">
        <v>208</v>
      </c>
    </row>
    <row r="89" spans="1:18" x14ac:dyDescent="0.35">
      <c r="A89" s="4" t="s">
        <v>49</v>
      </c>
      <c r="B89" s="4">
        <f>AVERAGEIFS(B$27:B$49,$K$62:$K$84, "C1")</f>
        <v>3</v>
      </c>
      <c r="C89" s="4">
        <f t="shared" ref="C89:R89" si="10">AVERAGEIFS(C$27:C$49,$K$62:$K$84, "C1")</f>
        <v>2.4</v>
      </c>
      <c r="D89" s="4">
        <f t="shared" si="10"/>
        <v>2</v>
      </c>
      <c r="E89" s="4">
        <f t="shared" si="10"/>
        <v>2.2000000000000002</v>
      </c>
      <c r="F89" s="4">
        <f t="shared" si="10"/>
        <v>2</v>
      </c>
      <c r="G89" s="4">
        <f t="shared" si="10"/>
        <v>2.6</v>
      </c>
      <c r="H89" s="4">
        <f t="shared" si="10"/>
        <v>1.8</v>
      </c>
      <c r="I89" s="4">
        <f t="shared" si="10"/>
        <v>3</v>
      </c>
      <c r="J89" s="4">
        <f t="shared" si="10"/>
        <v>2.2000000000000002</v>
      </c>
      <c r="K89" s="4">
        <f t="shared" si="10"/>
        <v>2.2000000000000002</v>
      </c>
      <c r="L89" s="4">
        <f t="shared" si="10"/>
        <v>2.6</v>
      </c>
      <c r="M89" s="4">
        <f t="shared" si="10"/>
        <v>2</v>
      </c>
      <c r="N89" s="4">
        <f t="shared" si="10"/>
        <v>1.8</v>
      </c>
      <c r="O89" s="4">
        <f t="shared" si="10"/>
        <v>2</v>
      </c>
      <c r="P89" s="4">
        <f t="shared" si="10"/>
        <v>2</v>
      </c>
      <c r="Q89" s="4">
        <f t="shared" si="10"/>
        <v>3</v>
      </c>
      <c r="R89" s="4">
        <f t="shared" si="10"/>
        <v>2</v>
      </c>
    </row>
    <row r="90" spans="1:18" x14ac:dyDescent="0.35">
      <c r="A90" s="4" t="s">
        <v>53</v>
      </c>
      <c r="B90" s="4">
        <f t="shared" ref="B90:R90" si="11">AVERAGEIFS(B$27:B$49,$K$62:$K$84, "C2")</f>
        <v>3</v>
      </c>
      <c r="C90" s="4">
        <f t="shared" si="11"/>
        <v>2</v>
      </c>
      <c r="D90" s="4">
        <f t="shared" si="11"/>
        <v>3</v>
      </c>
      <c r="E90" s="4">
        <f t="shared" si="11"/>
        <v>2</v>
      </c>
      <c r="F90" s="4">
        <f t="shared" si="11"/>
        <v>3</v>
      </c>
      <c r="G90" s="4">
        <f t="shared" si="11"/>
        <v>2</v>
      </c>
      <c r="H90" s="4">
        <f t="shared" si="11"/>
        <v>2</v>
      </c>
      <c r="I90" s="4">
        <f t="shared" si="11"/>
        <v>3</v>
      </c>
      <c r="J90" s="4">
        <f t="shared" si="11"/>
        <v>2</v>
      </c>
      <c r="K90" s="4">
        <f t="shared" si="11"/>
        <v>2</v>
      </c>
      <c r="L90" s="4">
        <f t="shared" si="11"/>
        <v>2</v>
      </c>
      <c r="M90" s="4">
        <f t="shared" si="11"/>
        <v>3</v>
      </c>
      <c r="N90" s="4">
        <f t="shared" si="11"/>
        <v>2</v>
      </c>
      <c r="O90" s="4">
        <f t="shared" si="11"/>
        <v>3</v>
      </c>
      <c r="P90" s="4">
        <f t="shared" si="11"/>
        <v>2.5</v>
      </c>
      <c r="Q90" s="4">
        <f t="shared" si="11"/>
        <v>3</v>
      </c>
      <c r="R90" s="4">
        <f t="shared" si="11"/>
        <v>2</v>
      </c>
    </row>
    <row r="91" spans="1:18" x14ac:dyDescent="0.35">
      <c r="A91" s="4" t="s">
        <v>58</v>
      </c>
      <c r="B91" s="28">
        <f t="shared" ref="B91:R91" si="12">AVERAGEIFS(B$27:B$49,$K$62:$K$84, "C3")</f>
        <v>2.25</v>
      </c>
      <c r="C91" s="28">
        <f t="shared" si="12"/>
        <v>2.25</v>
      </c>
      <c r="D91" s="28">
        <f t="shared" si="12"/>
        <v>2</v>
      </c>
      <c r="E91" s="28">
        <f t="shared" si="12"/>
        <v>2.5</v>
      </c>
      <c r="F91" s="28">
        <f t="shared" si="12"/>
        <v>2</v>
      </c>
      <c r="G91" s="28">
        <f t="shared" si="12"/>
        <v>2</v>
      </c>
      <c r="H91" s="28">
        <f t="shared" si="12"/>
        <v>1.75</v>
      </c>
      <c r="I91" s="28">
        <f t="shared" si="12"/>
        <v>2.25</v>
      </c>
      <c r="J91" s="28">
        <f t="shared" si="12"/>
        <v>2.5</v>
      </c>
      <c r="K91" s="28">
        <f t="shared" si="12"/>
        <v>2.5</v>
      </c>
      <c r="L91" s="28">
        <f t="shared" si="12"/>
        <v>2.25</v>
      </c>
      <c r="M91" s="28">
        <f t="shared" si="12"/>
        <v>2</v>
      </c>
      <c r="N91" s="28">
        <f t="shared" si="12"/>
        <v>2</v>
      </c>
      <c r="O91" s="28">
        <f t="shared" si="12"/>
        <v>2</v>
      </c>
      <c r="P91" s="28">
        <f t="shared" si="12"/>
        <v>2</v>
      </c>
      <c r="Q91" s="28">
        <f t="shared" si="12"/>
        <v>2.25</v>
      </c>
      <c r="R91" s="28">
        <f t="shared" si="12"/>
        <v>2.75</v>
      </c>
    </row>
    <row r="92" spans="1:18" x14ac:dyDescent="0.35">
      <c r="A92" s="4" t="s">
        <v>59</v>
      </c>
      <c r="B92" s="4">
        <f t="shared" ref="B92:R92" si="13">AVERAGEIFS(B$27:B$49,$K$62:$K$84, "C4")</f>
        <v>2</v>
      </c>
      <c r="C92" s="4">
        <f t="shared" si="13"/>
        <v>2</v>
      </c>
      <c r="D92" s="4">
        <f t="shared" si="13"/>
        <v>3</v>
      </c>
      <c r="E92" s="4">
        <f t="shared" si="13"/>
        <v>2.25</v>
      </c>
      <c r="F92" s="4">
        <f t="shared" si="13"/>
        <v>3</v>
      </c>
      <c r="G92" s="4">
        <f t="shared" si="13"/>
        <v>2.25</v>
      </c>
      <c r="H92" s="4">
        <f t="shared" si="13"/>
        <v>2</v>
      </c>
      <c r="I92" s="4">
        <f t="shared" si="13"/>
        <v>2</v>
      </c>
      <c r="J92" s="4">
        <f t="shared" si="13"/>
        <v>2</v>
      </c>
      <c r="K92" s="4">
        <f t="shared" si="13"/>
        <v>2.25</v>
      </c>
      <c r="L92" s="4">
        <f t="shared" si="13"/>
        <v>2.5</v>
      </c>
      <c r="M92" s="4">
        <f t="shared" si="13"/>
        <v>3</v>
      </c>
      <c r="N92" s="4">
        <f t="shared" si="13"/>
        <v>2</v>
      </c>
      <c r="O92" s="4">
        <f t="shared" si="13"/>
        <v>3</v>
      </c>
      <c r="P92" s="4">
        <f t="shared" si="13"/>
        <v>3</v>
      </c>
      <c r="Q92" s="4">
        <f t="shared" si="13"/>
        <v>2</v>
      </c>
      <c r="R92" s="4">
        <f t="shared" si="13"/>
        <v>2.25</v>
      </c>
    </row>
    <row r="93" spans="1:18" x14ac:dyDescent="0.35">
      <c r="A93" s="4" t="s">
        <v>88</v>
      </c>
      <c r="B93" s="4">
        <f t="shared" ref="B93:R93" si="14">AVERAGEIFS(B$27:B$49,$K$62:$K$84, "C5")</f>
        <v>3</v>
      </c>
      <c r="C93" s="4">
        <f t="shared" si="14"/>
        <v>2</v>
      </c>
      <c r="D93" s="4">
        <f t="shared" si="14"/>
        <v>3</v>
      </c>
      <c r="E93" s="4">
        <f t="shared" si="14"/>
        <v>2</v>
      </c>
      <c r="F93" s="4">
        <f t="shared" si="14"/>
        <v>3</v>
      </c>
      <c r="G93" s="4">
        <f t="shared" si="14"/>
        <v>2</v>
      </c>
      <c r="H93" s="4">
        <f t="shared" si="14"/>
        <v>3</v>
      </c>
      <c r="I93" s="4">
        <f t="shared" si="14"/>
        <v>2</v>
      </c>
      <c r="J93" s="4">
        <f t="shared" si="14"/>
        <v>3</v>
      </c>
      <c r="K93" s="4">
        <f t="shared" si="14"/>
        <v>2</v>
      </c>
      <c r="L93" s="4">
        <f t="shared" si="14"/>
        <v>2</v>
      </c>
      <c r="M93" s="4">
        <f t="shared" si="14"/>
        <v>2</v>
      </c>
      <c r="N93" s="4">
        <f t="shared" si="14"/>
        <v>2</v>
      </c>
      <c r="O93" s="4">
        <f t="shared" si="14"/>
        <v>2</v>
      </c>
      <c r="P93" s="4">
        <f t="shared" si="14"/>
        <v>3</v>
      </c>
      <c r="Q93" s="4">
        <f t="shared" si="14"/>
        <v>2</v>
      </c>
      <c r="R93" s="4">
        <f t="shared" si="14"/>
        <v>2</v>
      </c>
    </row>
    <row r="94" spans="1:18" x14ac:dyDescent="0.35">
      <c r="A94" s="4" t="s">
        <v>184</v>
      </c>
      <c r="B94" s="28">
        <f t="shared" ref="B94:R94" si="15">AVERAGEIFS(B$27:B$49,$K$62:$K$84, "C6")</f>
        <v>1.8333333333333333</v>
      </c>
      <c r="C94" s="28">
        <f t="shared" si="15"/>
        <v>1.8333333333333333</v>
      </c>
      <c r="D94" s="28">
        <f t="shared" si="15"/>
        <v>1.8333333333333333</v>
      </c>
      <c r="E94" s="28">
        <f t="shared" si="15"/>
        <v>2</v>
      </c>
      <c r="F94" s="28">
        <f t="shared" si="15"/>
        <v>1.8333333333333333</v>
      </c>
      <c r="G94" s="28">
        <f t="shared" si="15"/>
        <v>2</v>
      </c>
      <c r="H94" s="28">
        <f t="shared" si="15"/>
        <v>2.3333333333333335</v>
      </c>
      <c r="I94" s="28">
        <f t="shared" si="15"/>
        <v>2</v>
      </c>
      <c r="J94" s="28">
        <f t="shared" si="15"/>
        <v>1.8333333333333333</v>
      </c>
      <c r="K94" s="28">
        <f t="shared" si="15"/>
        <v>1.8333333333333333</v>
      </c>
      <c r="L94" s="28">
        <f t="shared" si="15"/>
        <v>2</v>
      </c>
      <c r="M94" s="28">
        <f t="shared" si="15"/>
        <v>2.1666666666666665</v>
      </c>
      <c r="N94" s="4">
        <f t="shared" si="15"/>
        <v>2</v>
      </c>
      <c r="O94" s="28">
        <f t="shared" si="15"/>
        <v>1.8333333333333333</v>
      </c>
      <c r="P94" s="4">
        <f t="shared" si="15"/>
        <v>2</v>
      </c>
      <c r="Q94" s="4">
        <f t="shared" si="15"/>
        <v>2</v>
      </c>
      <c r="R94" s="28">
        <f t="shared" si="15"/>
        <v>1.6666666666666667</v>
      </c>
    </row>
    <row r="95" spans="1:18" x14ac:dyDescent="0.35">
      <c r="A95" s="4" t="s">
        <v>185</v>
      </c>
      <c r="B95" s="4">
        <f t="shared" ref="B95:R95" si="16">AVERAGEIFS(B$27:B$49,$K$62:$K$84, "C7")</f>
        <v>2</v>
      </c>
      <c r="C95" s="4">
        <f t="shared" si="16"/>
        <v>3</v>
      </c>
      <c r="D95" s="4">
        <f t="shared" si="16"/>
        <v>3</v>
      </c>
      <c r="E95" s="4">
        <f t="shared" si="16"/>
        <v>2</v>
      </c>
      <c r="F95" s="4">
        <f t="shared" si="16"/>
        <v>3</v>
      </c>
      <c r="G95" s="4">
        <f t="shared" si="16"/>
        <v>2</v>
      </c>
      <c r="H95" s="4">
        <f t="shared" si="16"/>
        <v>2</v>
      </c>
      <c r="I95" s="4">
        <f t="shared" si="16"/>
        <v>2</v>
      </c>
      <c r="J95" s="4">
        <f t="shared" si="16"/>
        <v>3</v>
      </c>
      <c r="K95" s="4">
        <f t="shared" si="16"/>
        <v>2</v>
      </c>
      <c r="L95" s="4">
        <f t="shared" si="16"/>
        <v>2</v>
      </c>
      <c r="M95" s="4">
        <f t="shared" si="16"/>
        <v>3</v>
      </c>
      <c r="N95" s="4">
        <f t="shared" si="16"/>
        <v>2</v>
      </c>
      <c r="O95" s="4">
        <f t="shared" si="16"/>
        <v>3</v>
      </c>
      <c r="P95" s="4">
        <f t="shared" si="16"/>
        <v>3</v>
      </c>
      <c r="Q95" s="4">
        <f t="shared" si="16"/>
        <v>2</v>
      </c>
      <c r="R95" s="4">
        <f t="shared" si="16"/>
        <v>2</v>
      </c>
    </row>
    <row r="97" spans="1:18" x14ac:dyDescent="0.35">
      <c r="A97" s="43" t="s">
        <v>236</v>
      </c>
      <c r="B97" s="45" t="s">
        <v>106</v>
      </c>
      <c r="C97" s="45" t="s">
        <v>49</v>
      </c>
      <c r="D97" s="45" t="s">
        <v>53</v>
      </c>
      <c r="E97" s="45" t="s">
        <v>58</v>
      </c>
      <c r="F97" s="45" t="s">
        <v>59</v>
      </c>
      <c r="G97" s="45" t="s">
        <v>88</v>
      </c>
      <c r="H97" s="45" t="s">
        <v>184</v>
      </c>
      <c r="I97" s="45" t="s">
        <v>185</v>
      </c>
      <c r="J97" s="42" t="s">
        <v>86</v>
      </c>
      <c r="K97" s="42" t="s">
        <v>87</v>
      </c>
      <c r="L97" s="42" t="s">
        <v>104</v>
      </c>
      <c r="M97" s="42" t="s">
        <v>191</v>
      </c>
      <c r="O97" s="42" t="s">
        <v>186</v>
      </c>
      <c r="P97" s="42" t="s">
        <v>187</v>
      </c>
      <c r="Q97" s="42" t="s">
        <v>188</v>
      </c>
      <c r="R97" s="42" t="s">
        <v>229</v>
      </c>
    </row>
    <row r="98" spans="1:18" x14ac:dyDescent="0.35">
      <c r="A98" s="4">
        <v>1</v>
      </c>
      <c r="B98" s="14" t="s">
        <v>130</v>
      </c>
      <c r="C98" s="4">
        <f t="shared" ref="C98:C120" si="17">SQRT(SUMXMY2(B27:R27, $B$89:$R$89))</f>
        <v>1.1313708498984758</v>
      </c>
      <c r="D98" s="4">
        <f t="shared" ref="D98:D120" si="18">SQRT(SUMXMY2(B27:R27, $B$90:$R$90))</f>
        <v>2.6925824035672519</v>
      </c>
      <c r="E98" s="4">
        <f t="shared" ref="E98:E120" si="19">SQRT(SUMXMY2(B27:R27, $B$91:$R$91))</f>
        <v>2.1650635094610968</v>
      </c>
      <c r="F98" s="4">
        <f t="shared" ref="F98:F120" si="20">SQRT(SUMXMY2(B27:R27, $B$92:$R$92))</f>
        <v>3.082207001484488</v>
      </c>
      <c r="G98" s="4">
        <f t="shared" ref="G98:G120" si="21">SQRT(SUMXMY2(B27:R27, $B$93:$R$93))</f>
        <v>3.1622776601683795</v>
      </c>
      <c r="H98" s="4">
        <f t="shared" ref="H98:H120" si="22">SQRT(SUMXMY2(B27:R27, $B$94:$R$94))</f>
        <v>2.666666666666667</v>
      </c>
      <c r="I98" s="4">
        <f t="shared" ref="I98:I120" si="23">SQRT(SUMXMY2(B27:R27, $B$95:$R$95))</f>
        <v>3.6055512754639891</v>
      </c>
      <c r="J98" s="4">
        <f>MIN(C98:I98)</f>
        <v>1.1313708498984758</v>
      </c>
      <c r="K98" s="4" t="str">
        <f>"C"&amp;MATCH(J98,C98:I98,0)</f>
        <v>C1</v>
      </c>
      <c r="L98" s="14">
        <f>J98^2</f>
        <v>1.2799999999999996</v>
      </c>
      <c r="M98" s="14">
        <f>SUM(L98:L120)</f>
        <v>39.68333333333333</v>
      </c>
      <c r="O98" s="103" t="s">
        <v>49</v>
      </c>
      <c r="P98" s="103">
        <v>5</v>
      </c>
      <c r="Q98" s="4" t="s">
        <v>130</v>
      </c>
      <c r="R98" s="72" t="s">
        <v>228</v>
      </c>
    </row>
    <row r="99" spans="1:18" x14ac:dyDescent="0.35">
      <c r="A99" s="4">
        <v>2</v>
      </c>
      <c r="B99" s="14" t="s">
        <v>134</v>
      </c>
      <c r="C99" s="4">
        <f t="shared" si="17"/>
        <v>2.4657656011875906</v>
      </c>
      <c r="D99" s="4">
        <f t="shared" si="18"/>
        <v>0.5</v>
      </c>
      <c r="E99" s="4">
        <f t="shared" si="19"/>
        <v>2.8613807855648994</v>
      </c>
      <c r="F99" s="4">
        <f t="shared" si="20"/>
        <v>1.8708286933869707</v>
      </c>
      <c r="G99" s="4">
        <f t="shared" si="21"/>
        <v>2.4494897427831779</v>
      </c>
      <c r="H99" s="4">
        <f t="shared" si="22"/>
        <v>3.0731814857642963</v>
      </c>
      <c r="I99" s="4">
        <f t="shared" si="23"/>
        <v>2.2360679774997898</v>
      </c>
      <c r="J99" s="4">
        <f t="shared" ref="J99:J120" si="24">MIN(C99:I99)</f>
        <v>0.5</v>
      </c>
      <c r="K99" s="4" t="str">
        <f t="shared" ref="K99:K120" si="25">"C"&amp;MATCH(J99,C99:I99,0)</f>
        <v>C2</v>
      </c>
      <c r="L99" s="14">
        <f t="shared" ref="L99:L119" si="26">J99^2</f>
        <v>0.25</v>
      </c>
      <c r="O99" s="104"/>
      <c r="P99" s="104"/>
      <c r="Q99" s="4" t="s">
        <v>157</v>
      </c>
      <c r="R99" s="72"/>
    </row>
    <row r="100" spans="1:18" x14ac:dyDescent="0.35">
      <c r="A100" s="4">
        <v>3</v>
      </c>
      <c r="B100" s="14" t="s">
        <v>137</v>
      </c>
      <c r="C100" s="4">
        <f t="shared" si="17"/>
        <v>2.5059928172283334</v>
      </c>
      <c r="D100" s="4">
        <f t="shared" si="18"/>
        <v>3.2015621187164243</v>
      </c>
      <c r="E100" s="4">
        <f t="shared" si="19"/>
        <v>1.0897247358851685</v>
      </c>
      <c r="F100" s="4">
        <f t="shared" si="20"/>
        <v>2.6457513110645907</v>
      </c>
      <c r="G100" s="4">
        <f t="shared" si="21"/>
        <v>3</v>
      </c>
      <c r="H100" s="4">
        <f t="shared" si="22"/>
        <v>2.1081851067789197</v>
      </c>
      <c r="I100" s="4">
        <f t="shared" si="23"/>
        <v>3.1622776601683795</v>
      </c>
      <c r="J100" s="4">
        <f t="shared" si="24"/>
        <v>1.0897247358851685</v>
      </c>
      <c r="K100" s="4" t="str">
        <f t="shared" si="25"/>
        <v>C3</v>
      </c>
      <c r="L100" s="14">
        <f t="shared" si="26"/>
        <v>1.1875000000000002</v>
      </c>
      <c r="O100" s="104"/>
      <c r="P100" s="104"/>
      <c r="Q100" s="4" t="s">
        <v>172</v>
      </c>
      <c r="R100" s="72"/>
    </row>
    <row r="101" spans="1:18" x14ac:dyDescent="0.35">
      <c r="A101" s="4">
        <v>4</v>
      </c>
      <c r="B101" s="14" t="s">
        <v>140</v>
      </c>
      <c r="C101" s="4">
        <f t="shared" si="17"/>
        <v>2.979932885150268</v>
      </c>
      <c r="D101" s="4">
        <f t="shared" si="18"/>
        <v>2.0615528128088303</v>
      </c>
      <c r="E101" s="4">
        <f t="shared" si="19"/>
        <v>2.6809513236909019</v>
      </c>
      <c r="F101" s="4">
        <f t="shared" si="20"/>
        <v>0.70710678118654757</v>
      </c>
      <c r="G101" s="4">
        <f t="shared" si="21"/>
        <v>2.4494897427831779</v>
      </c>
      <c r="H101" s="4">
        <f t="shared" si="22"/>
        <v>2.666666666666667</v>
      </c>
      <c r="I101" s="4">
        <f t="shared" si="23"/>
        <v>1.7320508075688772</v>
      </c>
      <c r="J101" s="4">
        <f t="shared" si="24"/>
        <v>0.70710678118654757</v>
      </c>
      <c r="K101" s="4" t="str">
        <f t="shared" si="25"/>
        <v>C4</v>
      </c>
      <c r="L101" s="14">
        <f t="shared" si="26"/>
        <v>0.50000000000000011</v>
      </c>
      <c r="O101" s="104"/>
      <c r="P101" s="104"/>
      <c r="Q101" s="4" t="s">
        <v>178</v>
      </c>
      <c r="R101" s="72"/>
    </row>
    <row r="102" spans="1:18" x14ac:dyDescent="0.35">
      <c r="A102" s="4">
        <v>5</v>
      </c>
      <c r="B102" s="14" t="s">
        <v>143</v>
      </c>
      <c r="C102" s="4">
        <f t="shared" si="17"/>
        <v>2.8425340807103789</v>
      </c>
      <c r="D102" s="4">
        <f t="shared" si="18"/>
        <v>2.5</v>
      </c>
      <c r="E102" s="4">
        <f t="shared" si="19"/>
        <v>2.5860201081971503</v>
      </c>
      <c r="F102" s="4">
        <f t="shared" si="20"/>
        <v>2.3452078799117149</v>
      </c>
      <c r="G102" s="4">
        <f t="shared" si="21"/>
        <v>0</v>
      </c>
      <c r="H102" s="4">
        <f t="shared" si="22"/>
        <v>2.666666666666667</v>
      </c>
      <c r="I102" s="4">
        <f t="shared" si="23"/>
        <v>2.2360679774997898</v>
      </c>
      <c r="J102" s="4">
        <f t="shared" si="24"/>
        <v>0</v>
      </c>
      <c r="K102" s="4" t="str">
        <f t="shared" si="25"/>
        <v>C5</v>
      </c>
      <c r="L102" s="14">
        <f t="shared" si="26"/>
        <v>0</v>
      </c>
      <c r="O102" s="105"/>
      <c r="P102" s="105"/>
      <c r="Q102" s="4" t="s">
        <v>224</v>
      </c>
      <c r="R102" s="72"/>
    </row>
    <row r="103" spans="1:18" x14ac:dyDescent="0.35">
      <c r="A103" s="4">
        <v>6</v>
      </c>
      <c r="B103" s="14" t="s">
        <v>146</v>
      </c>
      <c r="C103" s="4">
        <f t="shared" si="17"/>
        <v>2.545584412271571</v>
      </c>
      <c r="D103" s="4">
        <f t="shared" si="18"/>
        <v>2.6925824035672519</v>
      </c>
      <c r="E103" s="4">
        <f t="shared" si="19"/>
        <v>2.0463381929681126</v>
      </c>
      <c r="F103" s="4">
        <f t="shared" si="20"/>
        <v>2.3452078799117149</v>
      </c>
      <c r="G103" s="4">
        <f t="shared" si="21"/>
        <v>2.4494897427831779</v>
      </c>
      <c r="H103" s="4">
        <f t="shared" si="22"/>
        <v>1.2018504251546633</v>
      </c>
      <c r="I103" s="4">
        <f t="shared" si="23"/>
        <v>2.6457513110645907</v>
      </c>
      <c r="J103" s="4">
        <f t="shared" si="24"/>
        <v>1.2018504251546633</v>
      </c>
      <c r="K103" s="4" t="str">
        <f t="shared" si="25"/>
        <v>C6</v>
      </c>
      <c r="L103" s="14">
        <f t="shared" si="26"/>
        <v>1.4444444444444451</v>
      </c>
      <c r="O103" s="103" t="s">
        <v>53</v>
      </c>
      <c r="P103" s="103">
        <v>2</v>
      </c>
      <c r="Q103" s="4" t="s">
        <v>134</v>
      </c>
      <c r="R103" s="41" t="s">
        <v>228</v>
      </c>
    </row>
    <row r="104" spans="1:18" x14ac:dyDescent="0.35">
      <c r="A104" s="4">
        <v>7</v>
      </c>
      <c r="B104" s="14" t="s">
        <v>149</v>
      </c>
      <c r="C104" s="4">
        <f t="shared" si="17"/>
        <v>3.1432467291003423</v>
      </c>
      <c r="D104" s="4">
        <f t="shared" si="18"/>
        <v>2.2912878474779199</v>
      </c>
      <c r="E104" s="4">
        <f t="shared" si="19"/>
        <v>2.6809513236909019</v>
      </c>
      <c r="F104" s="4">
        <f t="shared" si="20"/>
        <v>1.5811388300841898</v>
      </c>
      <c r="G104" s="4">
        <f t="shared" si="21"/>
        <v>2.2360679774997898</v>
      </c>
      <c r="H104" s="4">
        <f t="shared" si="22"/>
        <v>2.9627314724385299</v>
      </c>
      <c r="I104" s="4">
        <f t="shared" si="23"/>
        <v>0</v>
      </c>
      <c r="J104" s="4">
        <f t="shared" si="24"/>
        <v>0</v>
      </c>
      <c r="K104" s="4" t="str">
        <f t="shared" si="25"/>
        <v>C7</v>
      </c>
      <c r="L104" s="14">
        <f t="shared" si="26"/>
        <v>0</v>
      </c>
      <c r="O104" s="105"/>
      <c r="P104" s="105"/>
      <c r="Q104" s="4" t="s">
        <v>225</v>
      </c>
      <c r="R104" s="41" t="s">
        <v>231</v>
      </c>
    </row>
    <row r="105" spans="1:18" x14ac:dyDescent="0.35">
      <c r="A105" s="4">
        <v>8</v>
      </c>
      <c r="B105" s="14" t="s">
        <v>151</v>
      </c>
      <c r="C105" s="4">
        <f t="shared" si="17"/>
        <v>1.8110770276274832</v>
      </c>
      <c r="D105" s="4">
        <f t="shared" si="18"/>
        <v>2.6925824035672519</v>
      </c>
      <c r="E105" s="4">
        <f t="shared" si="19"/>
        <v>1.6393596310755001</v>
      </c>
      <c r="F105" s="4">
        <f t="shared" si="20"/>
        <v>3.1622776601683795</v>
      </c>
      <c r="G105" s="4">
        <f t="shared" si="21"/>
        <v>3.1622776601683795</v>
      </c>
      <c r="H105" s="4">
        <f t="shared" si="22"/>
        <v>2.7888667551135851</v>
      </c>
      <c r="I105" s="4">
        <f t="shared" si="23"/>
        <v>3.6055512754639891</v>
      </c>
      <c r="J105" s="4">
        <f t="shared" si="24"/>
        <v>1.6393596310755001</v>
      </c>
      <c r="K105" s="4" t="str">
        <f t="shared" si="25"/>
        <v>C3</v>
      </c>
      <c r="L105" s="14">
        <f t="shared" si="26"/>
        <v>2.6874999999999996</v>
      </c>
      <c r="O105" s="103" t="s">
        <v>58</v>
      </c>
      <c r="P105" s="103">
        <v>4</v>
      </c>
      <c r="Q105" s="4" t="s">
        <v>189</v>
      </c>
      <c r="R105" s="103" t="s">
        <v>230</v>
      </c>
    </row>
    <row r="106" spans="1:18" x14ac:dyDescent="0.35">
      <c r="A106" s="4">
        <v>9</v>
      </c>
      <c r="B106" s="14" t="s">
        <v>154</v>
      </c>
      <c r="C106" s="4">
        <f t="shared" si="17"/>
        <v>2.6229754097208002</v>
      </c>
      <c r="D106" s="4">
        <f t="shared" si="18"/>
        <v>3.3541019662496847</v>
      </c>
      <c r="E106" s="4">
        <f t="shared" si="19"/>
        <v>1.6393596310755001</v>
      </c>
      <c r="F106" s="4">
        <f t="shared" si="20"/>
        <v>2.8284271247461903</v>
      </c>
      <c r="G106" s="4">
        <f t="shared" si="21"/>
        <v>2.8284271247461903</v>
      </c>
      <c r="H106" s="4">
        <f t="shared" si="22"/>
        <v>2.3333333333333335</v>
      </c>
      <c r="I106" s="4">
        <f t="shared" si="23"/>
        <v>3</v>
      </c>
      <c r="J106" s="4">
        <f t="shared" si="24"/>
        <v>1.6393596310755001</v>
      </c>
      <c r="K106" s="4" t="str">
        <f t="shared" si="25"/>
        <v>C3</v>
      </c>
      <c r="L106" s="14">
        <f t="shared" si="26"/>
        <v>2.6874999999999996</v>
      </c>
      <c r="O106" s="104"/>
      <c r="P106" s="104"/>
      <c r="Q106" s="4" t="s">
        <v>151</v>
      </c>
      <c r="R106" s="104"/>
    </row>
    <row r="107" spans="1:18" x14ac:dyDescent="0.35">
      <c r="A107" s="4">
        <v>10</v>
      </c>
      <c r="B107" s="14" t="s">
        <v>157</v>
      </c>
      <c r="C107" s="4">
        <f t="shared" si="17"/>
        <v>1.2165525060596438</v>
      </c>
      <c r="D107" s="4">
        <f t="shared" si="18"/>
        <v>2.8722813232690143</v>
      </c>
      <c r="E107" s="4">
        <f t="shared" si="19"/>
        <v>2.2776083947860748</v>
      </c>
      <c r="F107" s="4">
        <f t="shared" si="20"/>
        <v>3.2403703492039302</v>
      </c>
      <c r="G107" s="4">
        <f t="shared" si="21"/>
        <v>3.3166247903553998</v>
      </c>
      <c r="H107" s="4">
        <f t="shared" si="22"/>
        <v>2.8480012484391768</v>
      </c>
      <c r="I107" s="4">
        <f t="shared" si="23"/>
        <v>3.4641016151377544</v>
      </c>
      <c r="J107" s="4">
        <f t="shared" si="24"/>
        <v>1.2165525060596438</v>
      </c>
      <c r="K107" s="4" t="str">
        <f t="shared" si="25"/>
        <v>C1</v>
      </c>
      <c r="L107" s="14">
        <f t="shared" si="26"/>
        <v>1.4799999999999998</v>
      </c>
      <c r="O107" s="104"/>
      <c r="P107" s="104"/>
      <c r="Q107" s="4" t="s">
        <v>154</v>
      </c>
      <c r="R107" s="104"/>
    </row>
    <row r="108" spans="1:18" x14ac:dyDescent="0.35">
      <c r="A108" s="4">
        <v>11</v>
      </c>
      <c r="B108" s="14" t="s">
        <v>160</v>
      </c>
      <c r="C108" s="4">
        <f t="shared" si="17"/>
        <v>2.9461839725312471</v>
      </c>
      <c r="D108" s="4">
        <f t="shared" si="18"/>
        <v>2.2912878474779199</v>
      </c>
      <c r="E108" s="4">
        <f t="shared" si="19"/>
        <v>2.8613807855648994</v>
      </c>
      <c r="F108" s="4">
        <f t="shared" si="20"/>
        <v>1</v>
      </c>
      <c r="G108" s="4">
        <f t="shared" si="21"/>
        <v>2.6457513110645907</v>
      </c>
      <c r="H108" s="4">
        <f t="shared" si="22"/>
        <v>2.8480012484391768</v>
      </c>
      <c r="I108" s="4">
        <f t="shared" si="23"/>
        <v>2</v>
      </c>
      <c r="J108" s="4">
        <f t="shared" si="24"/>
        <v>1</v>
      </c>
      <c r="K108" s="4" t="str">
        <f t="shared" si="25"/>
        <v>C4</v>
      </c>
      <c r="L108" s="14">
        <f t="shared" si="26"/>
        <v>1</v>
      </c>
      <c r="O108" s="105"/>
      <c r="P108" s="105"/>
      <c r="Q108" s="4" t="s">
        <v>226</v>
      </c>
      <c r="R108" s="105"/>
    </row>
    <row r="109" spans="1:18" x14ac:dyDescent="0.35">
      <c r="A109" s="4">
        <v>12</v>
      </c>
      <c r="B109" s="14" t="s">
        <v>163</v>
      </c>
      <c r="C109" s="4">
        <f t="shared" si="17"/>
        <v>3.0133038346638732</v>
      </c>
      <c r="D109" s="4">
        <f t="shared" si="18"/>
        <v>1.8027756377319946</v>
      </c>
      <c r="E109" s="4">
        <f t="shared" si="19"/>
        <v>2.5860201081971503</v>
      </c>
      <c r="F109" s="4">
        <f t="shared" si="20"/>
        <v>0.70710678118654757</v>
      </c>
      <c r="G109" s="4">
        <f t="shared" si="21"/>
        <v>2.2360679774997898</v>
      </c>
      <c r="H109" s="4">
        <f t="shared" si="22"/>
        <v>2.4720661623652211</v>
      </c>
      <c r="I109" s="4">
        <f t="shared" si="23"/>
        <v>1.4142135623730951</v>
      </c>
      <c r="J109" s="4">
        <f t="shared" si="24"/>
        <v>0.70710678118654757</v>
      </c>
      <c r="K109" s="4" t="str">
        <f t="shared" si="25"/>
        <v>C4</v>
      </c>
      <c r="L109" s="14">
        <f t="shared" si="26"/>
        <v>0.50000000000000011</v>
      </c>
      <c r="O109" s="103" t="s">
        <v>59</v>
      </c>
      <c r="P109" s="103">
        <v>4</v>
      </c>
      <c r="Q109" s="4" t="s">
        <v>140</v>
      </c>
      <c r="R109" s="72" t="s">
        <v>233</v>
      </c>
    </row>
    <row r="110" spans="1:18" x14ac:dyDescent="0.35">
      <c r="A110" s="4">
        <v>13</v>
      </c>
      <c r="B110" s="14" t="s">
        <v>166</v>
      </c>
      <c r="C110" s="4">
        <f t="shared" si="17"/>
        <v>2.0199009876724157</v>
      </c>
      <c r="D110" s="4">
        <f t="shared" si="18"/>
        <v>2.6925824035672519</v>
      </c>
      <c r="E110" s="4">
        <f t="shared" si="19"/>
        <v>1.299038105676658</v>
      </c>
      <c r="F110" s="4">
        <f t="shared" si="20"/>
        <v>2.3452078799117149</v>
      </c>
      <c r="G110" s="4">
        <f t="shared" si="21"/>
        <v>2.4494897427831779</v>
      </c>
      <c r="H110" s="4">
        <f t="shared" si="22"/>
        <v>0.66666666666666674</v>
      </c>
      <c r="I110" s="4">
        <f t="shared" si="23"/>
        <v>2.6457513110645907</v>
      </c>
      <c r="J110" s="4">
        <f t="shared" si="24"/>
        <v>0.66666666666666674</v>
      </c>
      <c r="K110" s="4" t="str">
        <f t="shared" si="25"/>
        <v>C6</v>
      </c>
      <c r="L110" s="14">
        <f t="shared" si="26"/>
        <v>0.44444444444444453</v>
      </c>
      <c r="O110" s="104"/>
      <c r="P110" s="104"/>
      <c r="Q110" s="4" t="s">
        <v>160</v>
      </c>
      <c r="R110" s="72"/>
    </row>
    <row r="111" spans="1:18" x14ac:dyDescent="0.35">
      <c r="A111" s="4">
        <v>14</v>
      </c>
      <c r="B111" s="14" t="s">
        <v>169</v>
      </c>
      <c r="C111" s="4">
        <f t="shared" si="17"/>
        <v>2.7349588662354689</v>
      </c>
      <c r="D111" s="4">
        <f t="shared" si="18"/>
        <v>3.3541019662496847</v>
      </c>
      <c r="E111" s="4">
        <f t="shared" si="19"/>
        <v>2.5860201081971503</v>
      </c>
      <c r="F111" s="4">
        <f t="shared" si="20"/>
        <v>2.6457513110645907</v>
      </c>
      <c r="G111" s="4">
        <f t="shared" si="21"/>
        <v>2.6457513110645907</v>
      </c>
      <c r="H111" s="4">
        <f t="shared" si="22"/>
        <v>2.1858128414340001</v>
      </c>
      <c r="I111" s="4">
        <f t="shared" si="23"/>
        <v>3.1622776601683795</v>
      </c>
      <c r="J111" s="4">
        <f t="shared" si="24"/>
        <v>2.1858128414340001</v>
      </c>
      <c r="K111" s="4" t="str">
        <f t="shared" si="25"/>
        <v>C6</v>
      </c>
      <c r="L111" s="14">
        <f t="shared" si="26"/>
        <v>4.7777777777777777</v>
      </c>
      <c r="O111" s="104"/>
      <c r="P111" s="104"/>
      <c r="Q111" s="4" t="s">
        <v>163</v>
      </c>
      <c r="R111" s="72"/>
    </row>
    <row r="112" spans="1:18" x14ac:dyDescent="0.35">
      <c r="A112" s="4">
        <v>15</v>
      </c>
      <c r="B112" s="14" t="s">
        <v>172</v>
      </c>
      <c r="C112" s="4">
        <f t="shared" si="17"/>
        <v>1.3711309200802089</v>
      </c>
      <c r="D112" s="4">
        <f t="shared" si="18"/>
        <v>2.5</v>
      </c>
      <c r="E112" s="4">
        <f t="shared" si="19"/>
        <v>1.920286436967152</v>
      </c>
      <c r="F112" s="4">
        <f t="shared" si="20"/>
        <v>3.2403703492039302</v>
      </c>
      <c r="G112" s="4">
        <f t="shared" si="21"/>
        <v>2.6457513110645907</v>
      </c>
      <c r="H112" s="4">
        <f t="shared" si="22"/>
        <v>2.5385910352879693</v>
      </c>
      <c r="I112" s="4">
        <f t="shared" si="23"/>
        <v>2.8284271247461903</v>
      </c>
      <c r="J112" s="4">
        <f t="shared" si="24"/>
        <v>1.3711309200802089</v>
      </c>
      <c r="K112" s="4" t="str">
        <f t="shared" si="25"/>
        <v>C1</v>
      </c>
      <c r="L112" s="14">
        <f t="shared" si="26"/>
        <v>1.8800000000000001</v>
      </c>
      <c r="O112" s="105"/>
      <c r="P112" s="105"/>
      <c r="Q112" s="4" t="s">
        <v>175</v>
      </c>
      <c r="R112" s="72"/>
    </row>
    <row r="113" spans="1:18" x14ac:dyDescent="0.35">
      <c r="A113" s="4">
        <v>16</v>
      </c>
      <c r="B113" s="14" t="s">
        <v>175</v>
      </c>
      <c r="C113" s="4">
        <f t="shared" si="17"/>
        <v>3.3585711247493331</v>
      </c>
      <c r="D113" s="4">
        <f t="shared" si="18"/>
        <v>2.5</v>
      </c>
      <c r="E113" s="4">
        <f t="shared" si="19"/>
        <v>2.4874685927665499</v>
      </c>
      <c r="F113" s="4">
        <f t="shared" si="20"/>
        <v>1.4142135623730951</v>
      </c>
      <c r="G113" s="4">
        <f t="shared" si="21"/>
        <v>2.8284271247461903</v>
      </c>
      <c r="H113" s="4">
        <f t="shared" si="22"/>
        <v>3.1797973380564861</v>
      </c>
      <c r="I113" s="4">
        <f t="shared" si="23"/>
        <v>2.2360679774997898</v>
      </c>
      <c r="J113" s="4">
        <f t="shared" si="24"/>
        <v>1.4142135623730951</v>
      </c>
      <c r="K113" s="4" t="str">
        <f t="shared" si="25"/>
        <v>C4</v>
      </c>
      <c r="L113" s="14">
        <f t="shared" si="26"/>
        <v>2.0000000000000004</v>
      </c>
      <c r="O113" s="41" t="s">
        <v>88</v>
      </c>
      <c r="P113" s="41">
        <v>1</v>
      </c>
      <c r="Q113" s="4" t="s">
        <v>143</v>
      </c>
      <c r="R113" s="4" t="s">
        <v>232</v>
      </c>
    </row>
    <row r="114" spans="1:18" x14ac:dyDescent="0.35">
      <c r="A114" s="4">
        <v>17</v>
      </c>
      <c r="B114" s="14" t="s">
        <v>178</v>
      </c>
      <c r="C114" s="4">
        <f t="shared" si="17"/>
        <v>0.82462112512353203</v>
      </c>
      <c r="D114" s="4">
        <f t="shared" si="18"/>
        <v>2.5</v>
      </c>
      <c r="E114" s="4">
        <f t="shared" si="19"/>
        <v>2.1650635094610968</v>
      </c>
      <c r="F114" s="4">
        <f t="shared" si="20"/>
        <v>3</v>
      </c>
      <c r="G114" s="4">
        <f t="shared" si="21"/>
        <v>3</v>
      </c>
      <c r="H114" s="4">
        <f t="shared" si="22"/>
        <v>2.4037008503093262</v>
      </c>
      <c r="I114" s="4">
        <f t="shared" si="23"/>
        <v>3.4641016151377544</v>
      </c>
      <c r="J114" s="4">
        <f t="shared" si="24"/>
        <v>0.82462112512353203</v>
      </c>
      <c r="K114" s="4" t="str">
        <f t="shared" si="25"/>
        <v>C1</v>
      </c>
      <c r="L114" s="14">
        <f t="shared" si="26"/>
        <v>0.67999999999999983</v>
      </c>
      <c r="O114" s="72" t="s">
        <v>184</v>
      </c>
      <c r="P114" s="72">
        <v>6</v>
      </c>
      <c r="Q114" s="4" t="s">
        <v>146</v>
      </c>
      <c r="R114" s="72" t="s">
        <v>234</v>
      </c>
    </row>
    <row r="115" spans="1:18" x14ac:dyDescent="0.35">
      <c r="A115" s="4">
        <v>18</v>
      </c>
      <c r="B115" s="14" t="s">
        <v>181</v>
      </c>
      <c r="C115" s="4">
        <f t="shared" si="17"/>
        <v>2.0199009876724157</v>
      </c>
      <c r="D115" s="4">
        <f t="shared" si="18"/>
        <v>2.6925824035672519</v>
      </c>
      <c r="E115" s="4">
        <f t="shared" si="19"/>
        <v>1.299038105676658</v>
      </c>
      <c r="F115" s="4">
        <f t="shared" si="20"/>
        <v>2.3452078799117149</v>
      </c>
      <c r="G115" s="4">
        <f t="shared" si="21"/>
        <v>2.4494897427831779</v>
      </c>
      <c r="H115" s="4">
        <f t="shared" si="22"/>
        <v>0.66666666666666674</v>
      </c>
      <c r="I115" s="4">
        <f t="shared" si="23"/>
        <v>2.6457513110645907</v>
      </c>
      <c r="J115" s="4">
        <f t="shared" si="24"/>
        <v>0.66666666666666674</v>
      </c>
      <c r="K115" s="4" t="str">
        <f t="shared" si="25"/>
        <v>C6</v>
      </c>
      <c r="L115" s="14">
        <f t="shared" si="26"/>
        <v>0.44444444444444453</v>
      </c>
      <c r="O115" s="72"/>
      <c r="P115" s="72"/>
      <c r="Q115" s="4" t="s">
        <v>166</v>
      </c>
      <c r="R115" s="72"/>
    </row>
    <row r="116" spans="1:18" x14ac:dyDescent="0.35">
      <c r="A116" s="4">
        <v>19</v>
      </c>
      <c r="B116" s="51" t="s">
        <v>209</v>
      </c>
      <c r="C116" s="4">
        <f t="shared" si="17"/>
        <v>3.2984845004941286</v>
      </c>
      <c r="D116" s="4">
        <f t="shared" si="18"/>
        <v>4.0311288741492746</v>
      </c>
      <c r="E116" s="4">
        <f t="shared" si="19"/>
        <v>3.2691742076555053</v>
      </c>
      <c r="F116" s="4">
        <f t="shared" si="20"/>
        <v>4</v>
      </c>
      <c r="G116" s="4">
        <f t="shared" si="21"/>
        <v>4.2426406871192848</v>
      </c>
      <c r="H116" s="4">
        <f t="shared" si="22"/>
        <v>2.1858128414340001</v>
      </c>
      <c r="I116" s="4">
        <f t="shared" si="23"/>
        <v>4.5825756949558398</v>
      </c>
      <c r="J116" s="4">
        <f t="shared" si="24"/>
        <v>2.1858128414340001</v>
      </c>
      <c r="K116" s="4" t="str">
        <f t="shared" si="25"/>
        <v>C6</v>
      </c>
      <c r="L116" s="14">
        <f t="shared" si="26"/>
        <v>4.7777777777777777</v>
      </c>
      <c r="O116" s="72"/>
      <c r="P116" s="72"/>
      <c r="Q116" s="4" t="s">
        <v>169</v>
      </c>
      <c r="R116" s="72"/>
    </row>
    <row r="117" spans="1:18" x14ac:dyDescent="0.35">
      <c r="A117" s="4">
        <v>20</v>
      </c>
      <c r="B117" s="51" t="s">
        <v>212</v>
      </c>
      <c r="C117" s="4">
        <f t="shared" si="17"/>
        <v>1.5099668870541501</v>
      </c>
      <c r="D117" s="4">
        <f t="shared" si="18"/>
        <v>2.5</v>
      </c>
      <c r="E117" s="4">
        <f t="shared" si="19"/>
        <v>2.1650635094610968</v>
      </c>
      <c r="F117" s="4">
        <f t="shared" si="20"/>
        <v>3.2403703492039302</v>
      </c>
      <c r="G117" s="4">
        <f t="shared" si="21"/>
        <v>3.3166247903553998</v>
      </c>
      <c r="H117" s="4">
        <f t="shared" si="22"/>
        <v>2.5385910352879693</v>
      </c>
      <c r="I117" s="4">
        <f t="shared" si="23"/>
        <v>3.4641016151377544</v>
      </c>
      <c r="J117" s="4">
        <f t="shared" si="24"/>
        <v>1.5099668870541501</v>
      </c>
      <c r="K117" s="4" t="str">
        <f t="shared" si="25"/>
        <v>C1</v>
      </c>
      <c r="L117" s="14">
        <f t="shared" si="26"/>
        <v>2.2800000000000002</v>
      </c>
      <c r="O117" s="72"/>
      <c r="P117" s="72"/>
      <c r="Q117" s="4" t="s">
        <v>181</v>
      </c>
      <c r="R117" s="72"/>
    </row>
    <row r="118" spans="1:18" x14ac:dyDescent="0.35">
      <c r="A118" s="4">
        <v>21</v>
      </c>
      <c r="B118" s="51" t="s">
        <v>215</v>
      </c>
      <c r="C118" s="4">
        <f t="shared" si="17"/>
        <v>3.9849717690342552</v>
      </c>
      <c r="D118" s="4">
        <f t="shared" si="18"/>
        <v>4.5</v>
      </c>
      <c r="E118" s="4">
        <f t="shared" si="19"/>
        <v>3.4910600109422352</v>
      </c>
      <c r="F118" s="4">
        <f t="shared" si="20"/>
        <v>4.358898943540674</v>
      </c>
      <c r="G118" s="4">
        <f t="shared" si="21"/>
        <v>4.1231056256176606</v>
      </c>
      <c r="H118" s="4">
        <f t="shared" si="22"/>
        <v>2.3333333333333335</v>
      </c>
      <c r="I118" s="4">
        <f t="shared" si="23"/>
        <v>4.2426406871192848</v>
      </c>
      <c r="J118" s="4">
        <f t="shared" si="24"/>
        <v>2.3333333333333335</v>
      </c>
      <c r="K118" s="4" t="str">
        <f t="shared" si="25"/>
        <v>C6</v>
      </c>
      <c r="L118" s="14">
        <f t="shared" si="26"/>
        <v>5.4444444444444455</v>
      </c>
      <c r="O118" s="72"/>
      <c r="P118" s="72"/>
      <c r="Q118" s="4" t="s">
        <v>227</v>
      </c>
      <c r="R118" s="72"/>
    </row>
    <row r="119" spans="1:18" x14ac:dyDescent="0.35">
      <c r="A119" s="4">
        <v>22</v>
      </c>
      <c r="B119" s="51" t="s">
        <v>218</v>
      </c>
      <c r="C119" s="4">
        <f t="shared" si="17"/>
        <v>2.4657656011875906</v>
      </c>
      <c r="D119" s="4">
        <f t="shared" si="18"/>
        <v>3.3541019662496847</v>
      </c>
      <c r="E119" s="4">
        <f t="shared" si="19"/>
        <v>1.920286436967152</v>
      </c>
      <c r="F119" s="4">
        <f t="shared" si="20"/>
        <v>3.082207001484488</v>
      </c>
      <c r="G119" s="4">
        <f t="shared" si="21"/>
        <v>3.1622776601683795</v>
      </c>
      <c r="H119" s="4">
        <f t="shared" si="22"/>
        <v>2.4037008503093262</v>
      </c>
      <c r="I119" s="4">
        <f t="shared" si="23"/>
        <v>2.6457513110645907</v>
      </c>
      <c r="J119" s="4">
        <f t="shared" si="24"/>
        <v>1.920286436967152</v>
      </c>
      <c r="K119" s="4" t="str">
        <f t="shared" si="25"/>
        <v>C3</v>
      </c>
      <c r="L119" s="14">
        <f t="shared" si="26"/>
        <v>3.6874999999999996</v>
      </c>
      <c r="O119" s="72"/>
      <c r="P119" s="72"/>
      <c r="Q119" s="4" t="s">
        <v>215</v>
      </c>
      <c r="R119" s="72"/>
    </row>
    <row r="120" spans="1:18" x14ac:dyDescent="0.35">
      <c r="A120" s="4">
        <v>23</v>
      </c>
      <c r="B120" s="51" t="s">
        <v>221</v>
      </c>
      <c r="C120" s="4">
        <f t="shared" si="17"/>
        <v>2.2538855339169293</v>
      </c>
      <c r="D120" s="4">
        <f t="shared" si="18"/>
        <v>0.5</v>
      </c>
      <c r="E120" s="4">
        <f t="shared" si="19"/>
        <v>2.6809513236909019</v>
      </c>
      <c r="F120" s="4">
        <f t="shared" si="20"/>
        <v>2.1213203435596424</v>
      </c>
      <c r="G120" s="4">
        <f t="shared" si="21"/>
        <v>2.6457513110645907</v>
      </c>
      <c r="H120" s="4">
        <f t="shared" si="22"/>
        <v>2.9059326290271161</v>
      </c>
      <c r="I120" s="4">
        <f t="shared" si="23"/>
        <v>2.4494897427831779</v>
      </c>
      <c r="J120" s="4">
        <f t="shared" si="24"/>
        <v>0.5</v>
      </c>
      <c r="K120" s="4" t="str">
        <f t="shared" si="25"/>
        <v>C2</v>
      </c>
      <c r="L120" s="14">
        <f>J120^2</f>
        <v>0.25</v>
      </c>
      <c r="O120" s="4" t="s">
        <v>185</v>
      </c>
      <c r="P120" s="4">
        <v>1</v>
      </c>
      <c r="Q120" s="4" t="s">
        <v>149</v>
      </c>
      <c r="R120" s="4" t="s">
        <v>235</v>
      </c>
    </row>
    <row r="122" spans="1:18" ht="15" thickBot="1" x14ac:dyDescent="0.4">
      <c r="A122" s="97" t="s">
        <v>96</v>
      </c>
      <c r="B122" s="97"/>
      <c r="C122" s="97"/>
      <c r="D122" s="97"/>
      <c r="E122" s="97"/>
      <c r="F122" s="97"/>
      <c r="G122" s="97"/>
      <c r="H122" s="97"/>
      <c r="I122" s="97"/>
      <c r="J122" s="97"/>
      <c r="K122" s="97"/>
      <c r="L122" s="97"/>
      <c r="M122" s="97"/>
      <c r="N122" s="97"/>
      <c r="O122" s="97"/>
      <c r="P122" s="97"/>
      <c r="Q122" s="97"/>
      <c r="R122" s="97"/>
    </row>
    <row r="123" spans="1:18" ht="16" thickBot="1" x14ac:dyDescent="0.4">
      <c r="A123" s="46" t="s">
        <v>47</v>
      </c>
      <c r="B123" s="47" t="s">
        <v>192</v>
      </c>
      <c r="C123" s="48" t="s">
        <v>193</v>
      </c>
      <c r="D123" s="48" t="s">
        <v>194</v>
      </c>
      <c r="E123" s="48" t="s">
        <v>195</v>
      </c>
      <c r="F123" s="48" t="s">
        <v>196</v>
      </c>
      <c r="G123" s="48" t="s">
        <v>197</v>
      </c>
      <c r="H123" s="48" t="s">
        <v>198</v>
      </c>
      <c r="I123" s="48" t="s">
        <v>199</v>
      </c>
      <c r="J123" s="48" t="s">
        <v>200</v>
      </c>
      <c r="K123" s="48" t="s">
        <v>201</v>
      </c>
      <c r="L123" s="48" t="s">
        <v>202</v>
      </c>
      <c r="M123" s="48" t="s">
        <v>203</v>
      </c>
      <c r="N123" s="48" t="s">
        <v>204</v>
      </c>
      <c r="O123" s="48" t="s">
        <v>205</v>
      </c>
      <c r="P123" s="48" t="s">
        <v>206</v>
      </c>
      <c r="Q123" s="48" t="s">
        <v>207</v>
      </c>
      <c r="R123" s="48" t="s">
        <v>208</v>
      </c>
    </row>
    <row r="124" spans="1:18" x14ac:dyDescent="0.35">
      <c r="A124" s="4" t="s">
        <v>49</v>
      </c>
      <c r="B124" s="4">
        <f t="shared" ref="B124:R124" si="27">AVERAGEIFS(B$27:B$49,$K$98:$K$120, "C1")</f>
        <v>3</v>
      </c>
      <c r="C124" s="4">
        <f t="shared" si="27"/>
        <v>2.4</v>
      </c>
      <c r="D124" s="4">
        <f t="shared" si="27"/>
        <v>2</v>
      </c>
      <c r="E124" s="4">
        <f t="shared" si="27"/>
        <v>2.2000000000000002</v>
      </c>
      <c r="F124" s="4">
        <f t="shared" si="27"/>
        <v>2</v>
      </c>
      <c r="G124" s="4">
        <f t="shared" si="27"/>
        <v>2.6</v>
      </c>
      <c r="H124" s="4">
        <f t="shared" si="27"/>
        <v>1.8</v>
      </c>
      <c r="I124" s="4">
        <f t="shared" si="27"/>
        <v>3</v>
      </c>
      <c r="J124" s="4">
        <f t="shared" si="27"/>
        <v>2.2000000000000002</v>
      </c>
      <c r="K124" s="4">
        <f t="shared" si="27"/>
        <v>2.2000000000000002</v>
      </c>
      <c r="L124" s="4">
        <f t="shared" si="27"/>
        <v>2.6</v>
      </c>
      <c r="M124" s="4">
        <f t="shared" si="27"/>
        <v>2</v>
      </c>
      <c r="N124" s="4">
        <f t="shared" si="27"/>
        <v>1.8</v>
      </c>
      <c r="O124" s="4">
        <f t="shared" si="27"/>
        <v>2</v>
      </c>
      <c r="P124" s="4">
        <f t="shared" si="27"/>
        <v>2</v>
      </c>
      <c r="Q124" s="4">
        <f t="shared" si="27"/>
        <v>3</v>
      </c>
      <c r="R124" s="4">
        <f t="shared" si="27"/>
        <v>2</v>
      </c>
    </row>
    <row r="125" spans="1:18" x14ac:dyDescent="0.35">
      <c r="A125" s="4" t="s">
        <v>53</v>
      </c>
      <c r="B125" s="4">
        <f t="shared" ref="B125:R125" si="28">AVERAGEIFS(B$27:B$49,$K$98:$K$120, "C2")</f>
        <v>3</v>
      </c>
      <c r="C125" s="4">
        <f t="shared" si="28"/>
        <v>2</v>
      </c>
      <c r="D125" s="4">
        <f t="shared" si="28"/>
        <v>3</v>
      </c>
      <c r="E125" s="4">
        <f t="shared" si="28"/>
        <v>2</v>
      </c>
      <c r="F125" s="4">
        <f t="shared" si="28"/>
        <v>3</v>
      </c>
      <c r="G125" s="4">
        <f t="shared" si="28"/>
        <v>2</v>
      </c>
      <c r="H125" s="4">
        <f t="shared" si="28"/>
        <v>2</v>
      </c>
      <c r="I125" s="4">
        <f t="shared" si="28"/>
        <v>3</v>
      </c>
      <c r="J125" s="4">
        <f t="shared" si="28"/>
        <v>2</v>
      </c>
      <c r="K125" s="4">
        <f t="shared" si="28"/>
        <v>2</v>
      </c>
      <c r="L125" s="4">
        <f t="shared" si="28"/>
        <v>2</v>
      </c>
      <c r="M125" s="4">
        <f t="shared" si="28"/>
        <v>3</v>
      </c>
      <c r="N125" s="4">
        <f t="shared" si="28"/>
        <v>2</v>
      </c>
      <c r="O125" s="4">
        <f t="shared" si="28"/>
        <v>3</v>
      </c>
      <c r="P125" s="4">
        <f t="shared" si="28"/>
        <v>2.5</v>
      </c>
      <c r="Q125" s="4">
        <f t="shared" si="28"/>
        <v>3</v>
      </c>
      <c r="R125" s="4">
        <f t="shared" si="28"/>
        <v>2</v>
      </c>
    </row>
    <row r="126" spans="1:18" x14ac:dyDescent="0.35">
      <c r="A126" s="4" t="s">
        <v>58</v>
      </c>
      <c r="B126" s="28">
        <f t="shared" ref="B126:R126" si="29">AVERAGEIFS(B$27:B$49,$K$98:$K$120, "C3")</f>
        <v>2.25</v>
      </c>
      <c r="C126" s="28">
        <f t="shared" si="29"/>
        <v>2.25</v>
      </c>
      <c r="D126" s="28">
        <f t="shared" si="29"/>
        <v>2</v>
      </c>
      <c r="E126" s="28">
        <f t="shared" si="29"/>
        <v>2.5</v>
      </c>
      <c r="F126" s="28">
        <f t="shared" si="29"/>
        <v>2</v>
      </c>
      <c r="G126" s="28">
        <f t="shared" si="29"/>
        <v>2</v>
      </c>
      <c r="H126" s="28">
        <f t="shared" si="29"/>
        <v>1.75</v>
      </c>
      <c r="I126" s="28">
        <f t="shared" si="29"/>
        <v>2.25</v>
      </c>
      <c r="J126" s="28">
        <f t="shared" si="29"/>
        <v>2.5</v>
      </c>
      <c r="K126" s="28">
        <f t="shared" si="29"/>
        <v>2.5</v>
      </c>
      <c r="L126" s="28">
        <f t="shared" si="29"/>
        <v>2.25</v>
      </c>
      <c r="M126" s="28">
        <f t="shared" si="29"/>
        <v>2</v>
      </c>
      <c r="N126" s="28">
        <f t="shared" si="29"/>
        <v>2</v>
      </c>
      <c r="O126" s="28">
        <f t="shared" si="29"/>
        <v>2</v>
      </c>
      <c r="P126" s="28">
        <f t="shared" si="29"/>
        <v>2</v>
      </c>
      <c r="Q126" s="28">
        <f t="shared" si="29"/>
        <v>2.25</v>
      </c>
      <c r="R126" s="28">
        <f t="shared" si="29"/>
        <v>2.75</v>
      </c>
    </row>
    <row r="127" spans="1:18" x14ac:dyDescent="0.35">
      <c r="A127" s="4" t="s">
        <v>59</v>
      </c>
      <c r="B127" s="4">
        <f t="shared" ref="B127:R127" si="30">AVERAGEIFS(B$27:B$49,$K$98:$K$120, "C4")</f>
        <v>2</v>
      </c>
      <c r="C127" s="4">
        <f t="shared" si="30"/>
        <v>2</v>
      </c>
      <c r="D127" s="4">
        <f t="shared" si="30"/>
        <v>3</v>
      </c>
      <c r="E127" s="4">
        <f t="shared" si="30"/>
        <v>2.25</v>
      </c>
      <c r="F127" s="4">
        <f t="shared" si="30"/>
        <v>3</v>
      </c>
      <c r="G127" s="4">
        <f t="shared" si="30"/>
        <v>2.25</v>
      </c>
      <c r="H127" s="4">
        <f t="shared" si="30"/>
        <v>2</v>
      </c>
      <c r="I127" s="4">
        <f t="shared" si="30"/>
        <v>2</v>
      </c>
      <c r="J127" s="4">
        <f t="shared" si="30"/>
        <v>2</v>
      </c>
      <c r="K127" s="4">
        <f t="shared" si="30"/>
        <v>2.25</v>
      </c>
      <c r="L127" s="4">
        <f t="shared" si="30"/>
        <v>2.5</v>
      </c>
      <c r="M127" s="4">
        <f t="shared" si="30"/>
        <v>3</v>
      </c>
      <c r="N127" s="4">
        <f t="shared" si="30"/>
        <v>2</v>
      </c>
      <c r="O127" s="4">
        <f t="shared" si="30"/>
        <v>3</v>
      </c>
      <c r="P127" s="4">
        <f t="shared" si="30"/>
        <v>3</v>
      </c>
      <c r="Q127" s="4">
        <f t="shared" si="30"/>
        <v>2</v>
      </c>
      <c r="R127" s="4">
        <f t="shared" si="30"/>
        <v>2.25</v>
      </c>
    </row>
    <row r="128" spans="1:18" x14ac:dyDescent="0.35">
      <c r="A128" s="4" t="s">
        <v>88</v>
      </c>
      <c r="B128" s="4">
        <f t="shared" ref="B128:R128" si="31">AVERAGEIFS(B$27:B$49,$K$98:$K$120, "C5")</f>
        <v>3</v>
      </c>
      <c r="C128" s="4">
        <f t="shared" si="31"/>
        <v>2</v>
      </c>
      <c r="D128" s="4">
        <f t="shared" si="31"/>
        <v>3</v>
      </c>
      <c r="E128" s="4">
        <f t="shared" si="31"/>
        <v>2</v>
      </c>
      <c r="F128" s="4">
        <f t="shared" si="31"/>
        <v>3</v>
      </c>
      <c r="G128" s="4">
        <f t="shared" si="31"/>
        <v>2</v>
      </c>
      <c r="H128" s="4">
        <f t="shared" si="31"/>
        <v>3</v>
      </c>
      <c r="I128" s="4">
        <f t="shared" si="31"/>
        <v>2</v>
      </c>
      <c r="J128" s="4">
        <f t="shared" si="31"/>
        <v>3</v>
      </c>
      <c r="K128" s="4">
        <f t="shared" si="31"/>
        <v>2</v>
      </c>
      <c r="L128" s="4">
        <f t="shared" si="31"/>
        <v>2</v>
      </c>
      <c r="M128" s="4">
        <f t="shared" si="31"/>
        <v>2</v>
      </c>
      <c r="N128" s="4">
        <f t="shared" si="31"/>
        <v>2</v>
      </c>
      <c r="O128" s="4">
        <f t="shared" si="31"/>
        <v>2</v>
      </c>
      <c r="P128" s="4">
        <f t="shared" si="31"/>
        <v>3</v>
      </c>
      <c r="Q128" s="4">
        <f t="shared" si="31"/>
        <v>2</v>
      </c>
      <c r="R128" s="4">
        <f t="shared" si="31"/>
        <v>2</v>
      </c>
    </row>
    <row r="129" spans="1:18" x14ac:dyDescent="0.35">
      <c r="A129" s="4" t="s">
        <v>184</v>
      </c>
      <c r="B129" s="28">
        <f t="shared" ref="B129:R129" si="32">AVERAGEIFS(B$27:B$49,$K$98:$K$120, "C6")</f>
        <v>1.8333333333333333</v>
      </c>
      <c r="C129" s="28">
        <f t="shared" si="32"/>
        <v>1.8333333333333333</v>
      </c>
      <c r="D129" s="28">
        <f t="shared" si="32"/>
        <v>1.8333333333333333</v>
      </c>
      <c r="E129" s="28">
        <f t="shared" si="32"/>
        <v>2</v>
      </c>
      <c r="F129" s="28">
        <f t="shared" si="32"/>
        <v>1.8333333333333333</v>
      </c>
      <c r="G129" s="28">
        <f t="shared" si="32"/>
        <v>2</v>
      </c>
      <c r="H129" s="28">
        <f t="shared" si="32"/>
        <v>2.3333333333333335</v>
      </c>
      <c r="I129" s="28">
        <f t="shared" si="32"/>
        <v>2</v>
      </c>
      <c r="J129" s="28">
        <f t="shared" si="32"/>
        <v>1.8333333333333333</v>
      </c>
      <c r="K129" s="28">
        <f t="shared" si="32"/>
        <v>1.8333333333333333</v>
      </c>
      <c r="L129" s="28">
        <f t="shared" si="32"/>
        <v>2</v>
      </c>
      <c r="M129" s="28">
        <f t="shared" si="32"/>
        <v>2.1666666666666665</v>
      </c>
      <c r="N129" s="28">
        <f t="shared" si="32"/>
        <v>2</v>
      </c>
      <c r="O129" s="28">
        <f t="shared" si="32"/>
        <v>1.8333333333333333</v>
      </c>
      <c r="P129" s="28">
        <f t="shared" si="32"/>
        <v>2</v>
      </c>
      <c r="Q129" s="28">
        <f t="shared" si="32"/>
        <v>2</v>
      </c>
      <c r="R129" s="28">
        <f t="shared" si="32"/>
        <v>1.6666666666666667</v>
      </c>
    </row>
    <row r="130" spans="1:18" x14ac:dyDescent="0.35">
      <c r="A130" s="4" t="s">
        <v>185</v>
      </c>
      <c r="B130" s="4">
        <f t="shared" ref="B130:R130" si="33">AVERAGEIFS(B$27:B$49,$K$98:$K$120, "C7")</f>
        <v>2</v>
      </c>
      <c r="C130" s="4">
        <f t="shared" si="33"/>
        <v>3</v>
      </c>
      <c r="D130" s="4">
        <f t="shared" si="33"/>
        <v>3</v>
      </c>
      <c r="E130" s="4">
        <f t="shared" si="33"/>
        <v>2</v>
      </c>
      <c r="F130" s="4">
        <f t="shared" si="33"/>
        <v>3</v>
      </c>
      <c r="G130" s="4">
        <f t="shared" si="33"/>
        <v>2</v>
      </c>
      <c r="H130" s="4">
        <f t="shared" si="33"/>
        <v>2</v>
      </c>
      <c r="I130" s="4">
        <f t="shared" si="33"/>
        <v>2</v>
      </c>
      <c r="J130" s="4">
        <f t="shared" si="33"/>
        <v>3</v>
      </c>
      <c r="K130" s="4">
        <f t="shared" si="33"/>
        <v>2</v>
      </c>
      <c r="L130" s="4">
        <f t="shared" si="33"/>
        <v>2</v>
      </c>
      <c r="M130" s="4">
        <f t="shared" si="33"/>
        <v>3</v>
      </c>
      <c r="N130" s="4">
        <f t="shared" si="33"/>
        <v>2</v>
      </c>
      <c r="O130" s="4">
        <f t="shared" si="33"/>
        <v>3</v>
      </c>
      <c r="P130" s="4">
        <f t="shared" si="33"/>
        <v>3</v>
      </c>
      <c r="Q130" s="4">
        <f t="shared" si="33"/>
        <v>2</v>
      </c>
      <c r="R130" s="4">
        <f t="shared" si="33"/>
        <v>2</v>
      </c>
    </row>
  </sheetData>
  <mergeCells count="22">
    <mergeCell ref="O114:O119"/>
    <mergeCell ref="P114:P119"/>
    <mergeCell ref="A122:R122"/>
    <mergeCell ref="O103:O104"/>
    <mergeCell ref="P103:P104"/>
    <mergeCell ref="O105:O108"/>
    <mergeCell ref="P105:P108"/>
    <mergeCell ref="O109:O112"/>
    <mergeCell ref="P109:P112"/>
    <mergeCell ref="R105:R108"/>
    <mergeCell ref="R109:R112"/>
    <mergeCell ref="R114:R119"/>
    <mergeCell ref="O78:O83"/>
    <mergeCell ref="A87:R87"/>
    <mergeCell ref="O98:O102"/>
    <mergeCell ref="P98:P102"/>
    <mergeCell ref="R98:R102"/>
    <mergeCell ref="O73:O76"/>
    <mergeCell ref="A51:R51"/>
    <mergeCell ref="O62:O66"/>
    <mergeCell ref="O67:O68"/>
    <mergeCell ref="O69:O7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58BC7-30BD-48FA-8C8A-C284846E1C9A}">
  <dimension ref="A1:Y171"/>
  <sheetViews>
    <sheetView topLeftCell="A5" zoomScale="18" zoomScaleNormal="70" workbookViewId="0">
      <selection activeCell="Q103" sqref="Q103"/>
    </sheetView>
  </sheetViews>
  <sheetFormatPr defaultRowHeight="14.5" x14ac:dyDescent="0.35"/>
  <cols>
    <col min="2" max="2" width="12.36328125" customWidth="1"/>
    <col min="3" max="3" width="21" customWidth="1"/>
    <col min="4" max="4" width="8.7265625" customWidth="1"/>
    <col min="18" max="18" width="16.7265625" customWidth="1"/>
    <col min="19" max="19" width="16.36328125" customWidth="1"/>
    <col min="20" max="20" width="15" customWidth="1"/>
    <col min="21" max="21" width="18.6328125" customWidth="1"/>
  </cols>
  <sheetData>
    <row r="1" spans="1:25" x14ac:dyDescent="0.35">
      <c r="A1" s="45" t="s">
        <v>105</v>
      </c>
      <c r="B1" s="45" t="s">
        <v>106</v>
      </c>
      <c r="C1" s="45" t="s">
        <v>107</v>
      </c>
      <c r="D1" s="45" t="s">
        <v>108</v>
      </c>
      <c r="E1" s="45" t="s">
        <v>109</v>
      </c>
      <c r="F1" s="45" t="s">
        <v>110</v>
      </c>
      <c r="G1" s="45" t="s">
        <v>111</v>
      </c>
      <c r="H1" s="45" t="s">
        <v>112</v>
      </c>
      <c r="I1" s="45" t="s">
        <v>113</v>
      </c>
      <c r="J1" s="45" t="s">
        <v>114</v>
      </c>
      <c r="K1" s="45" t="s">
        <v>115</v>
      </c>
      <c r="L1" s="45" t="s">
        <v>116</v>
      </c>
      <c r="M1" s="45" t="s">
        <v>117</v>
      </c>
      <c r="N1" s="45" t="s">
        <v>118</v>
      </c>
      <c r="O1" s="45" t="s">
        <v>119</v>
      </c>
      <c r="P1" s="45" t="s">
        <v>120</v>
      </c>
      <c r="Q1" s="45" t="s">
        <v>121</v>
      </c>
      <c r="R1" s="45" t="s">
        <v>122</v>
      </c>
      <c r="S1" s="45" t="s">
        <v>123</v>
      </c>
      <c r="T1" s="45" t="s">
        <v>124</v>
      </c>
      <c r="U1" s="45" t="s">
        <v>125</v>
      </c>
      <c r="V1" s="45" t="s">
        <v>126</v>
      </c>
      <c r="W1" s="45" t="s">
        <v>127</v>
      </c>
      <c r="X1" s="45" t="s">
        <v>128</v>
      </c>
      <c r="Y1" s="57" t="s">
        <v>129</v>
      </c>
    </row>
    <row r="2" spans="1:25" x14ac:dyDescent="0.35">
      <c r="A2" s="44">
        <v>46050.262193344897</v>
      </c>
      <c r="B2" s="14" t="s">
        <v>130</v>
      </c>
      <c r="C2" s="14" t="s">
        <v>131</v>
      </c>
      <c r="D2" s="14">
        <v>3.8</v>
      </c>
      <c r="E2" s="14">
        <v>7</v>
      </c>
      <c r="F2" s="14">
        <v>3</v>
      </c>
      <c r="G2" s="14">
        <v>2</v>
      </c>
      <c r="H2" s="14">
        <v>2</v>
      </c>
      <c r="I2" s="14">
        <v>2</v>
      </c>
      <c r="J2" s="14">
        <v>2</v>
      </c>
      <c r="K2" s="14">
        <v>3</v>
      </c>
      <c r="L2" s="14">
        <v>2</v>
      </c>
      <c r="M2" s="14">
        <v>3</v>
      </c>
      <c r="N2" s="14">
        <v>2</v>
      </c>
      <c r="O2" s="14">
        <v>3</v>
      </c>
      <c r="P2" s="14">
        <v>3</v>
      </c>
      <c r="Q2" s="14">
        <v>2</v>
      </c>
      <c r="R2" s="14">
        <v>2</v>
      </c>
      <c r="S2" s="14">
        <v>120</v>
      </c>
      <c r="T2" s="14">
        <v>2</v>
      </c>
      <c r="U2" s="14">
        <v>2</v>
      </c>
      <c r="V2" s="14">
        <v>3</v>
      </c>
      <c r="W2" s="14">
        <v>2</v>
      </c>
      <c r="X2" s="14" t="s">
        <v>132</v>
      </c>
      <c r="Y2" s="14" t="s">
        <v>133</v>
      </c>
    </row>
    <row r="3" spans="1:25" x14ac:dyDescent="0.35">
      <c r="A3" s="44">
        <v>46050.26299427083</v>
      </c>
      <c r="B3" s="14" t="s">
        <v>134</v>
      </c>
      <c r="C3" s="14" t="s">
        <v>135</v>
      </c>
      <c r="D3" s="14">
        <v>3.7</v>
      </c>
      <c r="E3" s="14">
        <v>7</v>
      </c>
      <c r="F3" s="14">
        <v>3</v>
      </c>
      <c r="G3" s="14">
        <v>2</v>
      </c>
      <c r="H3" s="14">
        <v>3</v>
      </c>
      <c r="I3" s="14">
        <v>2</v>
      </c>
      <c r="J3" s="14">
        <v>3</v>
      </c>
      <c r="K3" s="14">
        <v>2</v>
      </c>
      <c r="L3" s="14">
        <v>2</v>
      </c>
      <c r="M3" s="14">
        <v>3</v>
      </c>
      <c r="N3" s="14">
        <v>2</v>
      </c>
      <c r="O3" s="14">
        <v>2</v>
      </c>
      <c r="P3" s="14">
        <v>2</v>
      </c>
      <c r="Q3" s="14">
        <v>3</v>
      </c>
      <c r="R3" s="14">
        <v>2</v>
      </c>
      <c r="S3" s="14">
        <v>120</v>
      </c>
      <c r="T3" s="14">
        <v>3</v>
      </c>
      <c r="U3" s="14">
        <v>3</v>
      </c>
      <c r="V3" s="14">
        <v>3</v>
      </c>
      <c r="W3" s="14">
        <v>2</v>
      </c>
      <c r="X3" s="14" t="s">
        <v>136</v>
      </c>
      <c r="Y3" s="14" t="s">
        <v>133</v>
      </c>
    </row>
    <row r="4" spans="1:25" x14ac:dyDescent="0.35">
      <c r="A4" s="44">
        <v>46050.264810138891</v>
      </c>
      <c r="B4" s="14" t="s">
        <v>241</v>
      </c>
      <c r="C4" s="14" t="s">
        <v>242</v>
      </c>
      <c r="D4" s="14">
        <v>3.5</v>
      </c>
      <c r="E4" s="14">
        <v>7</v>
      </c>
      <c r="F4" s="14">
        <v>2</v>
      </c>
      <c r="G4" s="14">
        <v>3</v>
      </c>
      <c r="H4" s="14">
        <v>3</v>
      </c>
      <c r="I4" s="14">
        <v>2</v>
      </c>
      <c r="J4" s="14">
        <v>3</v>
      </c>
      <c r="K4" s="14">
        <v>2</v>
      </c>
      <c r="L4" s="14">
        <v>3</v>
      </c>
      <c r="M4" s="14">
        <v>3</v>
      </c>
      <c r="N4" s="14">
        <v>2</v>
      </c>
      <c r="O4" s="14">
        <v>3</v>
      </c>
      <c r="P4" s="14">
        <v>2</v>
      </c>
      <c r="Q4" s="14">
        <v>3</v>
      </c>
      <c r="R4" s="14">
        <v>2</v>
      </c>
      <c r="S4" s="14">
        <v>120</v>
      </c>
      <c r="T4" s="14">
        <v>3</v>
      </c>
      <c r="U4" s="14">
        <v>3</v>
      </c>
      <c r="V4" s="14">
        <v>2</v>
      </c>
      <c r="W4" s="14">
        <v>3</v>
      </c>
      <c r="X4" s="14" t="s">
        <v>243</v>
      </c>
      <c r="Y4" s="14" t="s">
        <v>133</v>
      </c>
    </row>
    <row r="5" spans="1:25" x14ac:dyDescent="0.35">
      <c r="A5" s="44">
        <v>46050.281735092591</v>
      </c>
      <c r="B5" s="14" t="s">
        <v>244</v>
      </c>
      <c r="C5" s="14" t="s">
        <v>245</v>
      </c>
      <c r="D5" s="14">
        <v>3.7</v>
      </c>
      <c r="E5" s="14">
        <v>5</v>
      </c>
      <c r="F5" s="14">
        <v>3</v>
      </c>
      <c r="G5" s="14">
        <v>2</v>
      </c>
      <c r="H5" s="14">
        <v>3</v>
      </c>
      <c r="I5" s="14">
        <v>2</v>
      </c>
      <c r="J5" s="14">
        <v>3</v>
      </c>
      <c r="K5" s="14">
        <v>2</v>
      </c>
      <c r="L5" s="14">
        <v>2</v>
      </c>
      <c r="M5" s="14">
        <v>2</v>
      </c>
      <c r="N5" s="14">
        <v>3</v>
      </c>
      <c r="O5" s="14">
        <v>2</v>
      </c>
      <c r="P5" s="14">
        <v>3</v>
      </c>
      <c r="Q5" s="14">
        <v>2</v>
      </c>
      <c r="R5" s="14">
        <v>2</v>
      </c>
      <c r="S5" s="14">
        <v>120</v>
      </c>
      <c r="T5" s="14">
        <v>2</v>
      </c>
      <c r="U5" s="14">
        <v>2</v>
      </c>
      <c r="V5" s="14">
        <v>3</v>
      </c>
      <c r="W5" s="14">
        <v>2</v>
      </c>
      <c r="X5" s="14" t="s">
        <v>246</v>
      </c>
      <c r="Y5" s="14" t="s">
        <v>133</v>
      </c>
    </row>
    <row r="6" spans="1:25" x14ac:dyDescent="0.35">
      <c r="A6" s="44">
        <v>46050.283431493059</v>
      </c>
      <c r="B6" s="14" t="s">
        <v>137</v>
      </c>
      <c r="C6" s="14" t="s">
        <v>138</v>
      </c>
      <c r="D6" s="14">
        <v>3.8</v>
      </c>
      <c r="E6" s="14">
        <v>7</v>
      </c>
      <c r="F6" s="14">
        <v>2</v>
      </c>
      <c r="G6" s="14">
        <v>2</v>
      </c>
      <c r="H6" s="14">
        <v>2</v>
      </c>
      <c r="I6" s="14">
        <v>3</v>
      </c>
      <c r="J6" s="14">
        <v>2</v>
      </c>
      <c r="K6" s="14">
        <v>2</v>
      </c>
      <c r="L6" s="14">
        <v>2</v>
      </c>
      <c r="M6" s="14">
        <v>2</v>
      </c>
      <c r="N6" s="14">
        <v>2</v>
      </c>
      <c r="O6" s="14">
        <v>3</v>
      </c>
      <c r="P6" s="14">
        <v>2</v>
      </c>
      <c r="Q6" s="14">
        <v>2</v>
      </c>
      <c r="R6" s="14">
        <v>2</v>
      </c>
      <c r="S6" s="14">
        <v>122</v>
      </c>
      <c r="T6" s="14">
        <v>2</v>
      </c>
      <c r="U6" s="14">
        <v>2</v>
      </c>
      <c r="V6" s="14">
        <v>2</v>
      </c>
      <c r="W6" s="14">
        <v>3</v>
      </c>
      <c r="X6" s="14" t="s">
        <v>139</v>
      </c>
      <c r="Y6" s="14" t="s">
        <v>133</v>
      </c>
    </row>
    <row r="7" spans="1:25" x14ac:dyDescent="0.35">
      <c r="A7" s="44">
        <v>46050.284407905092</v>
      </c>
      <c r="B7" s="14" t="s">
        <v>140</v>
      </c>
      <c r="C7" s="14" t="s">
        <v>141</v>
      </c>
      <c r="D7" s="14">
        <v>3.7</v>
      </c>
      <c r="E7" s="14">
        <v>7</v>
      </c>
      <c r="F7" s="14">
        <v>2</v>
      </c>
      <c r="G7" s="14">
        <v>2</v>
      </c>
      <c r="H7" s="14">
        <v>3</v>
      </c>
      <c r="I7" s="14">
        <v>2</v>
      </c>
      <c r="J7" s="14">
        <v>3</v>
      </c>
      <c r="K7" s="14">
        <v>2</v>
      </c>
      <c r="L7" s="14">
        <v>2</v>
      </c>
      <c r="M7" s="14">
        <v>2</v>
      </c>
      <c r="N7" s="14">
        <v>2</v>
      </c>
      <c r="O7" s="14">
        <v>2</v>
      </c>
      <c r="P7" s="14">
        <v>3</v>
      </c>
      <c r="Q7" s="14">
        <v>3</v>
      </c>
      <c r="R7" s="14">
        <v>2</v>
      </c>
      <c r="S7" s="14">
        <v>119</v>
      </c>
      <c r="T7" s="14">
        <v>3</v>
      </c>
      <c r="U7" s="14">
        <v>3</v>
      </c>
      <c r="V7" s="14">
        <v>2</v>
      </c>
      <c r="W7" s="14">
        <v>2</v>
      </c>
      <c r="X7" s="14" t="s">
        <v>142</v>
      </c>
      <c r="Y7" s="14" t="s">
        <v>133</v>
      </c>
    </row>
    <row r="8" spans="1:25" x14ac:dyDescent="0.35">
      <c r="A8" s="44">
        <v>46050.287067893521</v>
      </c>
      <c r="B8" s="14" t="s">
        <v>143</v>
      </c>
      <c r="C8" s="14" t="s">
        <v>144</v>
      </c>
      <c r="D8" s="14">
        <v>3.7</v>
      </c>
      <c r="E8" s="14">
        <v>7</v>
      </c>
      <c r="F8" s="14">
        <v>3</v>
      </c>
      <c r="G8" s="14">
        <v>2</v>
      </c>
      <c r="H8" s="14">
        <v>3</v>
      </c>
      <c r="I8" s="14">
        <v>2</v>
      </c>
      <c r="J8" s="14">
        <v>3</v>
      </c>
      <c r="K8" s="14">
        <v>2</v>
      </c>
      <c r="L8" s="14">
        <v>3</v>
      </c>
      <c r="M8" s="14">
        <v>2</v>
      </c>
      <c r="N8" s="14">
        <v>3</v>
      </c>
      <c r="O8" s="14">
        <v>2</v>
      </c>
      <c r="P8" s="14">
        <v>2</v>
      </c>
      <c r="Q8" s="14">
        <v>2</v>
      </c>
      <c r="R8" s="14">
        <v>2</v>
      </c>
      <c r="S8" s="14">
        <v>120</v>
      </c>
      <c r="T8" s="14">
        <v>2</v>
      </c>
      <c r="U8" s="14">
        <v>3</v>
      </c>
      <c r="V8" s="14">
        <v>2</v>
      </c>
      <c r="W8" s="14">
        <v>2</v>
      </c>
      <c r="X8" s="14" t="s">
        <v>145</v>
      </c>
      <c r="Y8" s="14" t="s">
        <v>133</v>
      </c>
    </row>
    <row r="9" spans="1:25" x14ac:dyDescent="0.35">
      <c r="A9" s="44">
        <v>46050.288233969914</v>
      </c>
      <c r="B9" s="14" t="s">
        <v>146</v>
      </c>
      <c r="C9" s="14" t="s">
        <v>147</v>
      </c>
      <c r="D9" s="14">
        <v>3.6</v>
      </c>
      <c r="E9" s="14">
        <v>7</v>
      </c>
      <c r="F9" s="14">
        <v>2</v>
      </c>
      <c r="G9" s="14">
        <v>2</v>
      </c>
      <c r="H9" s="14">
        <v>2</v>
      </c>
      <c r="I9" s="14">
        <v>2</v>
      </c>
      <c r="J9" s="14">
        <v>2</v>
      </c>
      <c r="K9" s="14">
        <v>2</v>
      </c>
      <c r="L9" s="14">
        <v>3</v>
      </c>
      <c r="M9" s="14">
        <v>2</v>
      </c>
      <c r="N9" s="14">
        <v>2</v>
      </c>
      <c r="O9" s="14">
        <v>2</v>
      </c>
      <c r="P9" s="14">
        <v>2</v>
      </c>
      <c r="Q9" s="14">
        <v>3</v>
      </c>
      <c r="R9" s="14">
        <v>2</v>
      </c>
      <c r="S9" s="14">
        <v>119</v>
      </c>
      <c r="T9" s="14">
        <v>2</v>
      </c>
      <c r="U9" s="14">
        <v>2</v>
      </c>
      <c r="V9" s="14">
        <v>2</v>
      </c>
      <c r="W9" s="14">
        <v>2</v>
      </c>
      <c r="X9" s="14" t="s">
        <v>148</v>
      </c>
      <c r="Y9" s="14" t="s">
        <v>133</v>
      </c>
    </row>
    <row r="10" spans="1:25" x14ac:dyDescent="0.35">
      <c r="A10" s="44">
        <v>46050.290445219907</v>
      </c>
      <c r="B10" s="14" t="s">
        <v>149</v>
      </c>
      <c r="C10" s="14" t="s">
        <v>11</v>
      </c>
      <c r="D10" s="14">
        <v>3.8</v>
      </c>
      <c r="E10" s="14">
        <v>7</v>
      </c>
      <c r="F10" s="14">
        <v>2</v>
      </c>
      <c r="G10" s="14">
        <v>3</v>
      </c>
      <c r="H10" s="14">
        <v>3</v>
      </c>
      <c r="I10" s="14">
        <v>2</v>
      </c>
      <c r="J10" s="14">
        <v>3</v>
      </c>
      <c r="K10" s="14">
        <v>2</v>
      </c>
      <c r="L10" s="14">
        <v>2</v>
      </c>
      <c r="M10" s="14">
        <v>2</v>
      </c>
      <c r="N10" s="14">
        <v>3</v>
      </c>
      <c r="O10" s="14">
        <v>2</v>
      </c>
      <c r="P10" s="14">
        <v>2</v>
      </c>
      <c r="Q10" s="14">
        <v>3</v>
      </c>
      <c r="R10" s="14">
        <v>2</v>
      </c>
      <c r="S10" s="14">
        <v>120</v>
      </c>
      <c r="T10" s="14">
        <v>3</v>
      </c>
      <c r="U10" s="14">
        <v>3</v>
      </c>
      <c r="V10" s="14">
        <v>2</v>
      </c>
      <c r="W10" s="14">
        <v>2</v>
      </c>
      <c r="X10" s="14" t="s">
        <v>150</v>
      </c>
      <c r="Y10" s="14" t="s">
        <v>133</v>
      </c>
    </row>
    <row r="11" spans="1:25" x14ac:dyDescent="0.35">
      <c r="A11" s="44">
        <v>46050.291332025467</v>
      </c>
      <c r="B11" s="14" t="s">
        <v>151</v>
      </c>
      <c r="C11" s="14" t="s">
        <v>152</v>
      </c>
      <c r="D11" s="14">
        <v>3.7</v>
      </c>
      <c r="E11" s="14">
        <v>7</v>
      </c>
      <c r="F11" s="14">
        <v>3</v>
      </c>
      <c r="G11" s="14">
        <v>2</v>
      </c>
      <c r="H11" s="14">
        <v>2</v>
      </c>
      <c r="I11" s="14">
        <v>3</v>
      </c>
      <c r="J11" s="14">
        <v>2</v>
      </c>
      <c r="K11" s="14">
        <v>2</v>
      </c>
      <c r="L11" s="14">
        <v>2</v>
      </c>
      <c r="M11" s="14">
        <v>3</v>
      </c>
      <c r="N11" s="14">
        <v>2</v>
      </c>
      <c r="O11" s="14">
        <v>3</v>
      </c>
      <c r="P11" s="14">
        <v>2</v>
      </c>
      <c r="Q11" s="14">
        <v>2</v>
      </c>
      <c r="R11" s="14">
        <v>2</v>
      </c>
      <c r="S11" s="14">
        <v>119</v>
      </c>
      <c r="T11" s="14">
        <v>2</v>
      </c>
      <c r="U11" s="14">
        <v>2</v>
      </c>
      <c r="V11" s="14">
        <v>3</v>
      </c>
      <c r="W11" s="14">
        <v>3</v>
      </c>
      <c r="X11" s="14" t="s">
        <v>153</v>
      </c>
      <c r="Y11" s="14" t="s">
        <v>133</v>
      </c>
    </row>
    <row r="12" spans="1:25" x14ac:dyDescent="0.35">
      <c r="A12" s="44">
        <v>46051.331695856483</v>
      </c>
      <c r="B12" s="14" t="s">
        <v>154</v>
      </c>
      <c r="C12" s="14" t="s">
        <v>155</v>
      </c>
      <c r="D12" s="14">
        <v>3.5</v>
      </c>
      <c r="E12" s="14">
        <v>7</v>
      </c>
      <c r="F12" s="14">
        <v>2</v>
      </c>
      <c r="G12" s="14">
        <v>2</v>
      </c>
      <c r="H12" s="14">
        <v>2</v>
      </c>
      <c r="I12" s="14">
        <v>2</v>
      </c>
      <c r="J12" s="14">
        <v>2</v>
      </c>
      <c r="K12" s="14">
        <v>2</v>
      </c>
      <c r="L12" s="14">
        <v>2</v>
      </c>
      <c r="M12" s="14">
        <v>2</v>
      </c>
      <c r="N12" s="14">
        <v>3</v>
      </c>
      <c r="O12" s="14">
        <v>2</v>
      </c>
      <c r="P12" s="14">
        <v>3</v>
      </c>
      <c r="Q12" s="14">
        <v>2</v>
      </c>
      <c r="R12" s="14">
        <v>3</v>
      </c>
      <c r="S12" s="14">
        <v>119</v>
      </c>
      <c r="T12" s="14">
        <v>2</v>
      </c>
      <c r="U12" s="14">
        <v>2</v>
      </c>
      <c r="V12" s="14">
        <v>2</v>
      </c>
      <c r="W12" s="14">
        <v>3</v>
      </c>
      <c r="X12" s="14" t="s">
        <v>156</v>
      </c>
      <c r="Y12" s="14" t="s">
        <v>133</v>
      </c>
    </row>
    <row r="13" spans="1:25" x14ac:dyDescent="0.35">
      <c r="A13" s="44">
        <v>46058.48975453704</v>
      </c>
      <c r="B13" s="14" t="s">
        <v>157</v>
      </c>
      <c r="C13" s="14" t="s">
        <v>158</v>
      </c>
      <c r="D13" s="14">
        <v>3.8</v>
      </c>
      <c r="E13" s="14">
        <v>7</v>
      </c>
      <c r="F13" s="14">
        <v>3</v>
      </c>
      <c r="G13" s="14">
        <v>3</v>
      </c>
      <c r="H13" s="14">
        <v>2</v>
      </c>
      <c r="I13" s="14">
        <v>3</v>
      </c>
      <c r="J13" s="14">
        <v>2</v>
      </c>
      <c r="K13" s="14">
        <v>3</v>
      </c>
      <c r="L13" s="14">
        <v>2</v>
      </c>
      <c r="M13" s="14">
        <v>3</v>
      </c>
      <c r="N13" s="14">
        <v>2</v>
      </c>
      <c r="O13" s="14">
        <v>2</v>
      </c>
      <c r="P13" s="14">
        <v>3</v>
      </c>
      <c r="Q13" s="14">
        <v>2</v>
      </c>
      <c r="R13" s="14">
        <v>2</v>
      </c>
      <c r="S13" s="14">
        <v>122</v>
      </c>
      <c r="T13" s="14">
        <v>2</v>
      </c>
      <c r="U13" s="14">
        <v>2</v>
      </c>
      <c r="V13" s="14">
        <v>3</v>
      </c>
      <c r="W13" s="14">
        <v>2</v>
      </c>
      <c r="X13" s="14" t="s">
        <v>159</v>
      </c>
      <c r="Y13" s="14" t="s">
        <v>133</v>
      </c>
    </row>
    <row r="14" spans="1:25" x14ac:dyDescent="0.35">
      <c r="A14" s="44">
        <v>46058.503878784722</v>
      </c>
      <c r="B14" s="14" t="s">
        <v>160</v>
      </c>
      <c r="C14" s="14" t="s">
        <v>161</v>
      </c>
      <c r="D14" s="14">
        <v>3.7</v>
      </c>
      <c r="E14" s="14">
        <v>7</v>
      </c>
      <c r="F14" s="14">
        <v>2</v>
      </c>
      <c r="G14" s="14">
        <v>2</v>
      </c>
      <c r="H14" s="14">
        <v>3</v>
      </c>
      <c r="I14" s="14">
        <v>2</v>
      </c>
      <c r="J14" s="14">
        <v>3</v>
      </c>
      <c r="K14" s="14">
        <v>3</v>
      </c>
      <c r="L14" s="14">
        <v>2</v>
      </c>
      <c r="M14" s="14">
        <v>2</v>
      </c>
      <c r="N14" s="14">
        <v>2</v>
      </c>
      <c r="O14" s="14">
        <v>2</v>
      </c>
      <c r="P14" s="14">
        <v>3</v>
      </c>
      <c r="Q14" s="14">
        <v>3</v>
      </c>
      <c r="R14" s="14">
        <v>2</v>
      </c>
      <c r="S14" s="14">
        <v>119</v>
      </c>
      <c r="T14" s="14">
        <v>3</v>
      </c>
      <c r="U14" s="14">
        <v>3</v>
      </c>
      <c r="V14" s="14">
        <v>2</v>
      </c>
      <c r="W14" s="14">
        <v>2</v>
      </c>
      <c r="X14" s="14" t="s">
        <v>162</v>
      </c>
      <c r="Y14" s="14" t="s">
        <v>133</v>
      </c>
    </row>
    <row r="15" spans="1:25" x14ac:dyDescent="0.35">
      <c r="A15" s="44">
        <v>46058.508931064818</v>
      </c>
      <c r="B15" s="14" t="s">
        <v>163</v>
      </c>
      <c r="C15" s="14" t="s">
        <v>164</v>
      </c>
      <c r="D15" s="14">
        <v>3.6</v>
      </c>
      <c r="E15" s="14">
        <v>7</v>
      </c>
      <c r="F15" s="14">
        <v>2</v>
      </c>
      <c r="G15" s="14">
        <v>2</v>
      </c>
      <c r="H15" s="14">
        <v>3</v>
      </c>
      <c r="I15" s="14">
        <v>2</v>
      </c>
      <c r="J15" s="14">
        <v>3</v>
      </c>
      <c r="K15" s="14">
        <v>2</v>
      </c>
      <c r="L15" s="14">
        <v>2</v>
      </c>
      <c r="M15" s="14">
        <v>2</v>
      </c>
      <c r="N15" s="14">
        <v>2</v>
      </c>
      <c r="O15" s="14">
        <v>2</v>
      </c>
      <c r="P15" s="14">
        <v>2</v>
      </c>
      <c r="Q15" s="14">
        <v>3</v>
      </c>
      <c r="R15" s="14">
        <v>2</v>
      </c>
      <c r="S15" s="14">
        <v>120</v>
      </c>
      <c r="T15" s="14">
        <v>3</v>
      </c>
      <c r="U15" s="14">
        <v>3</v>
      </c>
      <c r="V15" s="14">
        <v>2</v>
      </c>
      <c r="W15" s="14">
        <v>2</v>
      </c>
      <c r="X15" s="14" t="s">
        <v>165</v>
      </c>
      <c r="Y15" s="14" t="s">
        <v>133</v>
      </c>
    </row>
    <row r="16" spans="1:25" x14ac:dyDescent="0.35">
      <c r="A16" s="44">
        <v>46058.509829618059</v>
      </c>
      <c r="B16" s="14" t="s">
        <v>166</v>
      </c>
      <c r="C16" s="14" t="s">
        <v>167</v>
      </c>
      <c r="D16" s="14">
        <v>3.5</v>
      </c>
      <c r="E16" s="14">
        <v>7</v>
      </c>
      <c r="F16" s="14">
        <v>2</v>
      </c>
      <c r="G16" s="14">
        <v>2</v>
      </c>
      <c r="H16" s="14">
        <v>2</v>
      </c>
      <c r="I16" s="14">
        <v>2</v>
      </c>
      <c r="J16" s="14">
        <v>2</v>
      </c>
      <c r="K16" s="14">
        <v>2</v>
      </c>
      <c r="L16" s="14">
        <v>2</v>
      </c>
      <c r="M16" s="14">
        <v>2</v>
      </c>
      <c r="N16" s="14">
        <v>2</v>
      </c>
      <c r="O16" s="14">
        <v>2</v>
      </c>
      <c r="P16" s="14">
        <v>2</v>
      </c>
      <c r="Q16" s="14">
        <v>2</v>
      </c>
      <c r="R16" s="14">
        <v>2</v>
      </c>
      <c r="S16" s="14">
        <v>119</v>
      </c>
      <c r="T16" s="14">
        <v>2</v>
      </c>
      <c r="U16" s="14">
        <v>2</v>
      </c>
      <c r="V16" s="14">
        <v>2</v>
      </c>
      <c r="W16" s="14">
        <v>2</v>
      </c>
      <c r="X16" s="14" t="s">
        <v>168</v>
      </c>
      <c r="Y16" s="14" t="s">
        <v>133</v>
      </c>
    </row>
    <row r="17" spans="1:25" x14ac:dyDescent="0.35">
      <c r="A17" s="44">
        <v>46058.510758530087</v>
      </c>
      <c r="B17" s="14" t="s">
        <v>169</v>
      </c>
      <c r="C17" s="14" t="s">
        <v>170</v>
      </c>
      <c r="D17" s="14">
        <v>3.7</v>
      </c>
      <c r="E17" s="14">
        <v>8</v>
      </c>
      <c r="F17" s="14">
        <v>2</v>
      </c>
      <c r="G17" s="14">
        <v>2</v>
      </c>
      <c r="H17" s="14">
        <v>2</v>
      </c>
      <c r="I17" s="14">
        <v>2</v>
      </c>
      <c r="J17" s="14">
        <v>2</v>
      </c>
      <c r="K17" s="14">
        <v>3</v>
      </c>
      <c r="L17" s="14">
        <v>3</v>
      </c>
      <c r="M17" s="14">
        <v>2</v>
      </c>
      <c r="N17" s="14">
        <v>2</v>
      </c>
      <c r="O17" s="14">
        <v>2</v>
      </c>
      <c r="P17" s="14">
        <v>3</v>
      </c>
      <c r="Q17" s="14">
        <v>2</v>
      </c>
      <c r="R17" s="14">
        <v>3</v>
      </c>
      <c r="S17" s="14">
        <v>121</v>
      </c>
      <c r="T17" s="14">
        <v>2</v>
      </c>
      <c r="U17" s="14">
        <v>3</v>
      </c>
      <c r="V17" s="14">
        <v>2</v>
      </c>
      <c r="W17" s="14">
        <v>2</v>
      </c>
      <c r="X17" s="14" t="s">
        <v>171</v>
      </c>
      <c r="Y17" s="14" t="s">
        <v>133</v>
      </c>
    </row>
    <row r="18" spans="1:25" x14ac:dyDescent="0.35">
      <c r="A18" s="44">
        <v>46058.514247094907</v>
      </c>
      <c r="B18" s="14" t="s">
        <v>172</v>
      </c>
      <c r="C18" s="14" t="s">
        <v>173</v>
      </c>
      <c r="D18" s="14">
        <v>3.8</v>
      </c>
      <c r="E18" s="14">
        <v>7</v>
      </c>
      <c r="F18" s="14">
        <v>3</v>
      </c>
      <c r="G18" s="14">
        <v>3</v>
      </c>
      <c r="H18" s="14">
        <v>2</v>
      </c>
      <c r="I18" s="14">
        <v>2</v>
      </c>
      <c r="J18" s="14">
        <v>2</v>
      </c>
      <c r="K18" s="14">
        <v>2</v>
      </c>
      <c r="L18" s="14">
        <v>2</v>
      </c>
      <c r="M18" s="14">
        <v>3</v>
      </c>
      <c r="N18" s="14">
        <v>3</v>
      </c>
      <c r="O18" s="14">
        <v>2</v>
      </c>
      <c r="P18" s="14">
        <v>2</v>
      </c>
      <c r="Q18" s="14">
        <v>2</v>
      </c>
      <c r="R18" s="14">
        <v>2</v>
      </c>
      <c r="S18" s="14">
        <v>119</v>
      </c>
      <c r="T18" s="14">
        <v>2</v>
      </c>
      <c r="U18" s="14">
        <v>2</v>
      </c>
      <c r="V18" s="14">
        <v>3</v>
      </c>
      <c r="W18" s="14">
        <v>2</v>
      </c>
      <c r="X18" s="14" t="s">
        <v>174</v>
      </c>
      <c r="Y18" s="14" t="s">
        <v>133</v>
      </c>
    </row>
    <row r="19" spans="1:25" x14ac:dyDescent="0.35">
      <c r="A19" s="44">
        <v>46058.515278969913</v>
      </c>
      <c r="B19" s="14" t="s">
        <v>175</v>
      </c>
      <c r="C19" s="14" t="s">
        <v>176</v>
      </c>
      <c r="D19" s="14">
        <v>3.7</v>
      </c>
      <c r="E19" s="14">
        <v>8</v>
      </c>
      <c r="F19" s="14">
        <v>2</v>
      </c>
      <c r="G19" s="14">
        <v>2</v>
      </c>
      <c r="H19" s="14">
        <v>3</v>
      </c>
      <c r="I19" s="14">
        <v>3</v>
      </c>
      <c r="J19" s="14">
        <v>3</v>
      </c>
      <c r="K19" s="14">
        <v>2</v>
      </c>
      <c r="L19" s="14">
        <v>2</v>
      </c>
      <c r="M19" s="14">
        <v>2</v>
      </c>
      <c r="N19" s="14">
        <v>2</v>
      </c>
      <c r="O19" s="14">
        <v>3</v>
      </c>
      <c r="P19" s="14">
        <v>2</v>
      </c>
      <c r="Q19" s="14">
        <v>3</v>
      </c>
      <c r="R19" s="14">
        <v>2</v>
      </c>
      <c r="S19" s="14">
        <v>119</v>
      </c>
      <c r="T19" s="14">
        <v>3</v>
      </c>
      <c r="U19" s="14">
        <v>3</v>
      </c>
      <c r="V19" s="14">
        <v>2</v>
      </c>
      <c r="W19" s="14">
        <v>3</v>
      </c>
      <c r="X19" s="14" t="s">
        <v>177</v>
      </c>
      <c r="Y19" s="14" t="s">
        <v>133</v>
      </c>
    </row>
    <row r="20" spans="1:25" x14ac:dyDescent="0.35">
      <c r="A20" s="44">
        <v>46058.516692974539</v>
      </c>
      <c r="B20" s="14" t="s">
        <v>178</v>
      </c>
      <c r="C20" s="14" t="s">
        <v>179</v>
      </c>
      <c r="D20" s="14">
        <v>3.6</v>
      </c>
      <c r="E20" s="14">
        <v>7</v>
      </c>
      <c r="F20" s="14">
        <v>3</v>
      </c>
      <c r="G20" s="14">
        <v>2</v>
      </c>
      <c r="H20" s="14">
        <v>2</v>
      </c>
      <c r="I20" s="14">
        <v>2</v>
      </c>
      <c r="J20" s="14">
        <v>2</v>
      </c>
      <c r="K20" s="14">
        <v>3</v>
      </c>
      <c r="L20" s="14">
        <v>2</v>
      </c>
      <c r="M20" s="14">
        <v>3</v>
      </c>
      <c r="N20" s="14">
        <v>2</v>
      </c>
      <c r="O20" s="14">
        <v>2</v>
      </c>
      <c r="P20" s="14">
        <v>3</v>
      </c>
      <c r="Q20" s="14">
        <v>2</v>
      </c>
      <c r="R20" s="14">
        <v>2</v>
      </c>
      <c r="S20" s="14">
        <v>120</v>
      </c>
      <c r="T20" s="14">
        <v>2</v>
      </c>
      <c r="U20" s="14">
        <v>2</v>
      </c>
      <c r="V20" s="14">
        <v>3</v>
      </c>
      <c r="W20" s="14">
        <v>2</v>
      </c>
      <c r="X20" s="14" t="s">
        <v>180</v>
      </c>
      <c r="Y20" s="14" t="s">
        <v>133</v>
      </c>
    </row>
    <row r="21" spans="1:25" x14ac:dyDescent="0.35">
      <c r="A21" s="44">
        <v>46058.517446296297</v>
      </c>
      <c r="B21" s="14" t="s">
        <v>181</v>
      </c>
      <c r="C21" s="14" t="s">
        <v>182</v>
      </c>
      <c r="D21" s="14">
        <v>3.3</v>
      </c>
      <c r="E21" s="14">
        <v>9</v>
      </c>
      <c r="F21" s="14">
        <v>2</v>
      </c>
      <c r="G21" s="14">
        <v>2</v>
      </c>
      <c r="H21" s="14">
        <v>2</v>
      </c>
      <c r="I21" s="14">
        <v>2</v>
      </c>
      <c r="J21" s="14">
        <v>2</v>
      </c>
      <c r="K21" s="14">
        <v>2</v>
      </c>
      <c r="L21" s="14">
        <v>2</v>
      </c>
      <c r="M21" s="14">
        <v>2</v>
      </c>
      <c r="N21" s="14">
        <v>2</v>
      </c>
      <c r="O21" s="14">
        <v>2</v>
      </c>
      <c r="P21" s="14">
        <v>2</v>
      </c>
      <c r="Q21" s="14">
        <v>2</v>
      </c>
      <c r="R21" s="14">
        <v>2</v>
      </c>
      <c r="S21" s="14">
        <v>120</v>
      </c>
      <c r="T21" s="14">
        <v>2</v>
      </c>
      <c r="U21" s="14">
        <v>2</v>
      </c>
      <c r="V21" s="14">
        <v>2</v>
      </c>
      <c r="W21" s="14">
        <v>2</v>
      </c>
      <c r="X21" s="14" t="s">
        <v>183</v>
      </c>
      <c r="Y21" s="14" t="s">
        <v>133</v>
      </c>
    </row>
    <row r="22" spans="1:25" x14ac:dyDescent="0.35">
      <c r="A22" s="44">
        <v>46061.415234699067</v>
      </c>
      <c r="B22" s="14" t="s">
        <v>227</v>
      </c>
      <c r="C22" s="14" t="s">
        <v>210</v>
      </c>
      <c r="D22" s="14">
        <v>3.3</v>
      </c>
      <c r="E22" s="14">
        <v>7</v>
      </c>
      <c r="F22" s="14">
        <v>2</v>
      </c>
      <c r="G22" s="14">
        <v>1</v>
      </c>
      <c r="H22" s="14">
        <v>2</v>
      </c>
      <c r="I22" s="14">
        <v>2</v>
      </c>
      <c r="J22" s="14">
        <v>1</v>
      </c>
      <c r="K22" s="14">
        <v>2</v>
      </c>
      <c r="L22" s="14">
        <v>2</v>
      </c>
      <c r="M22" s="14">
        <v>2</v>
      </c>
      <c r="N22" s="14">
        <v>1</v>
      </c>
      <c r="O22" s="14">
        <v>2</v>
      </c>
      <c r="P22" s="14">
        <v>2</v>
      </c>
      <c r="Q22" s="14">
        <v>2</v>
      </c>
      <c r="R22" s="14">
        <v>1</v>
      </c>
      <c r="S22" s="14">
        <v>118</v>
      </c>
      <c r="T22" s="14">
        <v>2</v>
      </c>
      <c r="U22" s="14">
        <v>1</v>
      </c>
      <c r="V22" s="14">
        <v>2</v>
      </c>
      <c r="W22" s="14">
        <v>1</v>
      </c>
      <c r="X22" s="14" t="s">
        <v>183</v>
      </c>
      <c r="Y22" s="14" t="s">
        <v>133</v>
      </c>
    </row>
    <row r="23" spans="1:25" x14ac:dyDescent="0.35">
      <c r="A23" s="44">
        <v>46061.420793113422</v>
      </c>
      <c r="B23" s="14" t="s">
        <v>224</v>
      </c>
      <c r="C23" s="14" t="s">
        <v>213</v>
      </c>
      <c r="D23" s="14">
        <v>3.4</v>
      </c>
      <c r="E23" s="14">
        <v>7</v>
      </c>
      <c r="F23" s="14">
        <v>3</v>
      </c>
      <c r="G23" s="14">
        <v>2</v>
      </c>
      <c r="H23" s="14">
        <v>2</v>
      </c>
      <c r="I23" s="14">
        <v>2</v>
      </c>
      <c r="J23" s="14">
        <v>2</v>
      </c>
      <c r="K23" s="14">
        <v>2</v>
      </c>
      <c r="L23" s="14">
        <v>1</v>
      </c>
      <c r="M23" s="14">
        <v>3</v>
      </c>
      <c r="N23" s="14">
        <v>2</v>
      </c>
      <c r="O23" s="14">
        <v>2</v>
      </c>
      <c r="P23" s="14">
        <v>2</v>
      </c>
      <c r="Q23" s="14">
        <v>2</v>
      </c>
      <c r="R23" s="14">
        <v>1</v>
      </c>
      <c r="S23" s="14">
        <v>120</v>
      </c>
      <c r="T23" s="14">
        <v>2</v>
      </c>
      <c r="U23" s="14">
        <v>2</v>
      </c>
      <c r="V23" s="14">
        <v>3</v>
      </c>
      <c r="W23" s="14">
        <v>2</v>
      </c>
      <c r="X23" s="14" t="s">
        <v>247</v>
      </c>
      <c r="Y23" s="14" t="s">
        <v>133</v>
      </c>
    </row>
    <row r="24" spans="1:25" x14ac:dyDescent="0.35">
      <c r="A24" s="44">
        <v>46061.423281296287</v>
      </c>
      <c r="B24" s="14" t="s">
        <v>248</v>
      </c>
      <c r="C24" s="14" t="s">
        <v>216</v>
      </c>
      <c r="D24" s="14">
        <v>3.1</v>
      </c>
      <c r="E24" s="14">
        <v>8</v>
      </c>
      <c r="F24" s="14">
        <v>1</v>
      </c>
      <c r="G24" s="14">
        <v>2</v>
      </c>
      <c r="H24" s="14">
        <v>1</v>
      </c>
      <c r="I24" s="14">
        <v>2</v>
      </c>
      <c r="J24" s="14">
        <v>2</v>
      </c>
      <c r="K24" s="14">
        <v>1</v>
      </c>
      <c r="L24" s="14">
        <v>2</v>
      </c>
      <c r="M24" s="14">
        <v>2</v>
      </c>
      <c r="N24" s="14">
        <v>2</v>
      </c>
      <c r="O24" s="14">
        <v>1</v>
      </c>
      <c r="P24" s="14">
        <v>1</v>
      </c>
      <c r="Q24" s="14">
        <v>2</v>
      </c>
      <c r="R24" s="14">
        <v>2</v>
      </c>
      <c r="S24" s="14">
        <v>121</v>
      </c>
      <c r="T24" s="14">
        <v>1</v>
      </c>
      <c r="U24" s="14">
        <v>2</v>
      </c>
      <c r="V24" s="14">
        <v>2</v>
      </c>
      <c r="W24" s="14">
        <v>1</v>
      </c>
      <c r="X24" s="14" t="s">
        <v>217</v>
      </c>
      <c r="Y24" s="14" t="s">
        <v>133</v>
      </c>
    </row>
    <row r="25" spans="1:25" x14ac:dyDescent="0.35">
      <c r="A25" s="44">
        <v>46061.426495879627</v>
      </c>
      <c r="B25" s="14" t="s">
        <v>226</v>
      </c>
      <c r="C25" s="14" t="s">
        <v>219</v>
      </c>
      <c r="D25" s="14">
        <v>3.5</v>
      </c>
      <c r="E25" s="14">
        <v>8</v>
      </c>
      <c r="F25" s="14">
        <v>2</v>
      </c>
      <c r="G25" s="14">
        <v>3</v>
      </c>
      <c r="H25" s="14">
        <v>2</v>
      </c>
      <c r="I25" s="14">
        <v>2</v>
      </c>
      <c r="J25" s="14">
        <v>2</v>
      </c>
      <c r="K25" s="14">
        <v>2</v>
      </c>
      <c r="L25" s="14">
        <v>1</v>
      </c>
      <c r="M25" s="14">
        <v>2</v>
      </c>
      <c r="N25" s="14">
        <v>3</v>
      </c>
      <c r="O25" s="14">
        <v>2</v>
      </c>
      <c r="P25" s="14">
        <v>2</v>
      </c>
      <c r="Q25" s="14">
        <v>2</v>
      </c>
      <c r="R25" s="14">
        <v>1</v>
      </c>
      <c r="S25" s="14">
        <v>122</v>
      </c>
      <c r="T25" s="14">
        <v>2</v>
      </c>
      <c r="U25" s="14">
        <v>2</v>
      </c>
      <c r="V25" s="14">
        <v>2</v>
      </c>
      <c r="W25" s="14">
        <v>2</v>
      </c>
      <c r="X25" s="14" t="s">
        <v>249</v>
      </c>
      <c r="Y25" s="14" t="s">
        <v>133</v>
      </c>
    </row>
    <row r="26" spans="1:25" x14ac:dyDescent="0.35">
      <c r="A26" s="44">
        <v>46061.427963807873</v>
      </c>
      <c r="B26" s="14" t="s">
        <v>225</v>
      </c>
      <c r="C26" s="14" t="s">
        <v>222</v>
      </c>
      <c r="D26" s="14">
        <v>3.6</v>
      </c>
      <c r="E26" s="14">
        <v>9</v>
      </c>
      <c r="F26" s="14">
        <v>3</v>
      </c>
      <c r="G26" s="14">
        <v>2</v>
      </c>
      <c r="H26" s="14">
        <v>3</v>
      </c>
      <c r="I26" s="14">
        <v>2</v>
      </c>
      <c r="J26" s="14">
        <v>3</v>
      </c>
      <c r="K26" s="14">
        <v>2</v>
      </c>
      <c r="L26" s="14">
        <v>2</v>
      </c>
      <c r="M26" s="14">
        <v>3</v>
      </c>
      <c r="N26" s="14">
        <v>2</v>
      </c>
      <c r="O26" s="14">
        <v>2</v>
      </c>
      <c r="P26" s="14">
        <v>2</v>
      </c>
      <c r="Q26" s="14">
        <v>3</v>
      </c>
      <c r="R26" s="14">
        <v>2</v>
      </c>
      <c r="S26" s="14">
        <v>124</v>
      </c>
      <c r="T26" s="14">
        <v>3</v>
      </c>
      <c r="U26" s="14">
        <v>2</v>
      </c>
      <c r="V26" s="14">
        <v>3</v>
      </c>
      <c r="W26" s="14">
        <v>2</v>
      </c>
      <c r="X26" s="14" t="s">
        <v>250</v>
      </c>
      <c r="Y26" s="14" t="s">
        <v>133</v>
      </c>
    </row>
    <row r="29" spans="1:25" x14ac:dyDescent="0.35">
      <c r="A29" s="45" t="s">
        <v>106</v>
      </c>
      <c r="B29" s="45" t="s">
        <v>110</v>
      </c>
      <c r="C29" s="45" t="s">
        <v>111</v>
      </c>
      <c r="D29" s="45" t="s">
        <v>112</v>
      </c>
      <c r="E29" s="45" t="s">
        <v>113</v>
      </c>
      <c r="F29" s="45" t="s">
        <v>114</v>
      </c>
      <c r="G29" s="45" t="s">
        <v>115</v>
      </c>
      <c r="H29" s="45" t="s">
        <v>116</v>
      </c>
      <c r="I29" s="45" t="s">
        <v>117</v>
      </c>
      <c r="J29" s="45" t="s">
        <v>118</v>
      </c>
      <c r="K29" s="45" t="s">
        <v>119</v>
      </c>
      <c r="L29" s="45" t="s">
        <v>120</v>
      </c>
      <c r="M29" s="45" t="s">
        <v>121</v>
      </c>
      <c r="N29" s="45" t="s">
        <v>122</v>
      </c>
      <c r="O29" s="45" t="s">
        <v>124</v>
      </c>
      <c r="P29" s="45" t="s">
        <v>125</v>
      </c>
      <c r="Q29" s="45" t="s">
        <v>126</v>
      </c>
      <c r="R29" s="45" t="s">
        <v>127</v>
      </c>
      <c r="T29" s="58"/>
      <c r="U29" s="58"/>
    </row>
    <row r="30" spans="1:25" x14ac:dyDescent="0.35">
      <c r="A30" s="14" t="s">
        <v>130</v>
      </c>
      <c r="B30" s="14">
        <v>3</v>
      </c>
      <c r="C30" s="14">
        <v>2</v>
      </c>
      <c r="D30" s="14">
        <v>2</v>
      </c>
      <c r="E30" s="14">
        <v>2</v>
      </c>
      <c r="F30" s="14">
        <v>2</v>
      </c>
      <c r="G30" s="14">
        <v>3</v>
      </c>
      <c r="H30" s="14">
        <v>2</v>
      </c>
      <c r="I30" s="14">
        <v>3</v>
      </c>
      <c r="J30" s="14">
        <v>2</v>
      </c>
      <c r="K30" s="14">
        <v>3</v>
      </c>
      <c r="L30" s="14">
        <v>3</v>
      </c>
      <c r="M30" s="14">
        <v>2</v>
      </c>
      <c r="N30" s="14">
        <v>2</v>
      </c>
      <c r="O30" s="14">
        <v>2</v>
      </c>
      <c r="P30" s="14">
        <v>2</v>
      </c>
      <c r="Q30" s="14">
        <v>3</v>
      </c>
      <c r="R30" s="14">
        <v>2</v>
      </c>
    </row>
    <row r="31" spans="1:25" x14ac:dyDescent="0.35">
      <c r="A31" s="14" t="s">
        <v>134</v>
      </c>
      <c r="B31" s="14">
        <v>3</v>
      </c>
      <c r="C31" s="14">
        <v>2</v>
      </c>
      <c r="D31" s="14">
        <v>3</v>
      </c>
      <c r="E31" s="14">
        <v>2</v>
      </c>
      <c r="F31" s="14">
        <v>3</v>
      </c>
      <c r="G31" s="14">
        <v>2</v>
      </c>
      <c r="H31" s="14">
        <v>2</v>
      </c>
      <c r="I31" s="14">
        <v>3</v>
      </c>
      <c r="J31" s="14">
        <v>2</v>
      </c>
      <c r="K31" s="14">
        <v>2</v>
      </c>
      <c r="L31" s="14">
        <v>2</v>
      </c>
      <c r="M31" s="14">
        <v>3</v>
      </c>
      <c r="N31" s="14">
        <v>2</v>
      </c>
      <c r="O31" s="14">
        <v>3</v>
      </c>
      <c r="P31" s="14">
        <v>3</v>
      </c>
      <c r="Q31" s="14">
        <v>3</v>
      </c>
      <c r="R31" s="14">
        <v>2</v>
      </c>
    </row>
    <row r="32" spans="1:25" x14ac:dyDescent="0.35">
      <c r="A32" s="14" t="s">
        <v>241</v>
      </c>
      <c r="B32" s="14">
        <v>2</v>
      </c>
      <c r="C32" s="14">
        <v>3</v>
      </c>
      <c r="D32" s="14">
        <v>3</v>
      </c>
      <c r="E32" s="14">
        <v>2</v>
      </c>
      <c r="F32" s="14">
        <v>3</v>
      </c>
      <c r="G32" s="14">
        <v>2</v>
      </c>
      <c r="H32" s="14">
        <v>3</v>
      </c>
      <c r="I32" s="14">
        <v>3</v>
      </c>
      <c r="J32" s="14">
        <v>2</v>
      </c>
      <c r="K32" s="14">
        <v>3</v>
      </c>
      <c r="L32" s="14">
        <v>2</v>
      </c>
      <c r="M32" s="14">
        <v>3</v>
      </c>
      <c r="N32" s="14">
        <v>2</v>
      </c>
      <c r="O32" s="14">
        <v>3</v>
      </c>
      <c r="P32" s="14">
        <v>3</v>
      </c>
      <c r="Q32" s="14">
        <v>2</v>
      </c>
      <c r="R32" s="14">
        <v>3</v>
      </c>
    </row>
    <row r="33" spans="1:18" x14ac:dyDescent="0.35">
      <c r="A33" s="14" t="s">
        <v>244</v>
      </c>
      <c r="B33" s="14">
        <v>3</v>
      </c>
      <c r="C33" s="14">
        <v>2</v>
      </c>
      <c r="D33" s="14">
        <v>3</v>
      </c>
      <c r="E33" s="14">
        <v>2</v>
      </c>
      <c r="F33" s="14">
        <v>3</v>
      </c>
      <c r="G33" s="14">
        <v>2</v>
      </c>
      <c r="H33" s="14">
        <v>2</v>
      </c>
      <c r="I33" s="14">
        <v>2</v>
      </c>
      <c r="J33" s="14">
        <v>3</v>
      </c>
      <c r="K33" s="14">
        <v>2</v>
      </c>
      <c r="L33" s="14">
        <v>3</v>
      </c>
      <c r="M33" s="14">
        <v>2</v>
      </c>
      <c r="N33" s="14">
        <v>2</v>
      </c>
      <c r="O33" s="14">
        <v>2</v>
      </c>
      <c r="P33" s="14">
        <v>2</v>
      </c>
      <c r="Q33" s="14">
        <v>3</v>
      </c>
      <c r="R33" s="14">
        <v>2</v>
      </c>
    </row>
    <row r="34" spans="1:18" x14ac:dyDescent="0.35">
      <c r="A34" s="14" t="s">
        <v>137</v>
      </c>
      <c r="B34" s="14">
        <v>2</v>
      </c>
      <c r="C34" s="14">
        <v>2</v>
      </c>
      <c r="D34" s="14">
        <v>2</v>
      </c>
      <c r="E34" s="14">
        <v>3</v>
      </c>
      <c r="F34" s="14">
        <v>2</v>
      </c>
      <c r="G34" s="14">
        <v>2</v>
      </c>
      <c r="H34" s="14">
        <v>2</v>
      </c>
      <c r="I34" s="14">
        <v>2</v>
      </c>
      <c r="J34" s="14">
        <v>2</v>
      </c>
      <c r="K34" s="14">
        <v>3</v>
      </c>
      <c r="L34" s="14">
        <v>2</v>
      </c>
      <c r="M34" s="14">
        <v>2</v>
      </c>
      <c r="N34" s="14">
        <v>2</v>
      </c>
      <c r="O34" s="14">
        <v>2</v>
      </c>
      <c r="P34" s="14">
        <v>2</v>
      </c>
      <c r="Q34" s="14">
        <v>2</v>
      </c>
      <c r="R34" s="14">
        <v>3</v>
      </c>
    </row>
    <row r="35" spans="1:18" x14ac:dyDescent="0.35">
      <c r="A35" s="14" t="s">
        <v>140</v>
      </c>
      <c r="B35" s="14">
        <v>2</v>
      </c>
      <c r="C35" s="14">
        <v>2</v>
      </c>
      <c r="D35" s="14">
        <v>3</v>
      </c>
      <c r="E35" s="14">
        <v>2</v>
      </c>
      <c r="F35" s="14">
        <v>3</v>
      </c>
      <c r="G35" s="14">
        <v>2</v>
      </c>
      <c r="H35" s="14">
        <v>2</v>
      </c>
      <c r="I35" s="14">
        <v>2</v>
      </c>
      <c r="J35" s="14">
        <v>2</v>
      </c>
      <c r="K35" s="14">
        <v>2</v>
      </c>
      <c r="L35" s="14">
        <v>3</v>
      </c>
      <c r="M35" s="14">
        <v>3</v>
      </c>
      <c r="N35" s="14">
        <v>2</v>
      </c>
      <c r="O35" s="14">
        <v>3</v>
      </c>
      <c r="P35" s="14">
        <v>3</v>
      </c>
      <c r="Q35" s="14">
        <v>2</v>
      </c>
      <c r="R35" s="14">
        <v>2</v>
      </c>
    </row>
    <row r="36" spans="1:18" x14ac:dyDescent="0.35">
      <c r="A36" s="14" t="s">
        <v>143</v>
      </c>
      <c r="B36" s="14">
        <v>3</v>
      </c>
      <c r="C36" s="14">
        <v>2</v>
      </c>
      <c r="D36" s="14">
        <v>3</v>
      </c>
      <c r="E36" s="14">
        <v>2</v>
      </c>
      <c r="F36" s="14">
        <v>3</v>
      </c>
      <c r="G36" s="14">
        <v>2</v>
      </c>
      <c r="H36" s="14">
        <v>3</v>
      </c>
      <c r="I36" s="14">
        <v>2</v>
      </c>
      <c r="J36" s="14">
        <v>3</v>
      </c>
      <c r="K36" s="14">
        <v>2</v>
      </c>
      <c r="L36" s="14">
        <v>2</v>
      </c>
      <c r="M36" s="14">
        <v>2</v>
      </c>
      <c r="N36" s="14">
        <v>2</v>
      </c>
      <c r="O36" s="14">
        <v>2</v>
      </c>
      <c r="P36" s="14">
        <v>3</v>
      </c>
      <c r="Q36" s="14">
        <v>2</v>
      </c>
      <c r="R36" s="14">
        <v>2</v>
      </c>
    </row>
    <row r="37" spans="1:18" x14ac:dyDescent="0.35">
      <c r="A37" s="14" t="s">
        <v>146</v>
      </c>
      <c r="B37" s="14">
        <v>2</v>
      </c>
      <c r="C37" s="14">
        <v>2</v>
      </c>
      <c r="D37" s="14">
        <v>2</v>
      </c>
      <c r="E37" s="14">
        <v>2</v>
      </c>
      <c r="F37" s="14">
        <v>2</v>
      </c>
      <c r="G37" s="14">
        <v>2</v>
      </c>
      <c r="H37" s="14">
        <v>3</v>
      </c>
      <c r="I37" s="14">
        <v>2</v>
      </c>
      <c r="J37" s="14">
        <v>2</v>
      </c>
      <c r="K37" s="14">
        <v>2</v>
      </c>
      <c r="L37" s="14">
        <v>2</v>
      </c>
      <c r="M37" s="14">
        <v>3</v>
      </c>
      <c r="N37" s="14">
        <v>2</v>
      </c>
      <c r="O37" s="14">
        <v>2</v>
      </c>
      <c r="P37" s="14">
        <v>2</v>
      </c>
      <c r="Q37" s="14">
        <v>2</v>
      </c>
      <c r="R37" s="14">
        <v>2</v>
      </c>
    </row>
    <row r="38" spans="1:18" x14ac:dyDescent="0.35">
      <c r="A38" s="14" t="s">
        <v>149</v>
      </c>
      <c r="B38" s="14">
        <v>2</v>
      </c>
      <c r="C38" s="14">
        <v>3</v>
      </c>
      <c r="D38" s="14">
        <v>3</v>
      </c>
      <c r="E38" s="14">
        <v>2</v>
      </c>
      <c r="F38" s="14">
        <v>3</v>
      </c>
      <c r="G38" s="14">
        <v>2</v>
      </c>
      <c r="H38" s="14">
        <v>2</v>
      </c>
      <c r="I38" s="14">
        <v>2</v>
      </c>
      <c r="J38" s="14">
        <v>3</v>
      </c>
      <c r="K38" s="14">
        <v>2</v>
      </c>
      <c r="L38" s="14">
        <v>2</v>
      </c>
      <c r="M38" s="14">
        <v>3</v>
      </c>
      <c r="N38" s="14">
        <v>2</v>
      </c>
      <c r="O38" s="14">
        <v>3</v>
      </c>
      <c r="P38" s="14">
        <v>3</v>
      </c>
      <c r="Q38" s="14">
        <v>2</v>
      </c>
      <c r="R38" s="14">
        <v>2</v>
      </c>
    </row>
    <row r="39" spans="1:18" x14ac:dyDescent="0.35">
      <c r="A39" s="14" t="s">
        <v>151</v>
      </c>
      <c r="B39" s="14">
        <v>3</v>
      </c>
      <c r="C39" s="14">
        <v>2</v>
      </c>
      <c r="D39" s="14">
        <v>2</v>
      </c>
      <c r="E39" s="14">
        <v>3</v>
      </c>
      <c r="F39" s="14">
        <v>2</v>
      </c>
      <c r="G39" s="14">
        <v>2</v>
      </c>
      <c r="H39" s="14">
        <v>2</v>
      </c>
      <c r="I39" s="14">
        <v>3</v>
      </c>
      <c r="J39" s="14">
        <v>2</v>
      </c>
      <c r="K39" s="14">
        <v>3</v>
      </c>
      <c r="L39" s="14">
        <v>2</v>
      </c>
      <c r="M39" s="14">
        <v>2</v>
      </c>
      <c r="N39" s="14">
        <v>2</v>
      </c>
      <c r="O39" s="14">
        <v>2</v>
      </c>
      <c r="P39" s="14">
        <v>2</v>
      </c>
      <c r="Q39" s="14">
        <v>3</v>
      </c>
      <c r="R39" s="14">
        <v>3</v>
      </c>
    </row>
    <row r="40" spans="1:18" x14ac:dyDescent="0.35">
      <c r="A40" s="14" t="s">
        <v>154</v>
      </c>
      <c r="B40" s="14">
        <v>2</v>
      </c>
      <c r="C40" s="14">
        <v>2</v>
      </c>
      <c r="D40" s="14">
        <v>2</v>
      </c>
      <c r="E40" s="14">
        <v>2</v>
      </c>
      <c r="F40" s="14">
        <v>2</v>
      </c>
      <c r="G40" s="14">
        <v>2</v>
      </c>
      <c r="H40" s="14">
        <v>2</v>
      </c>
      <c r="I40" s="14">
        <v>2</v>
      </c>
      <c r="J40" s="14">
        <v>3</v>
      </c>
      <c r="K40" s="14">
        <v>2</v>
      </c>
      <c r="L40" s="14">
        <v>3</v>
      </c>
      <c r="M40" s="14">
        <v>2</v>
      </c>
      <c r="N40" s="14">
        <v>3</v>
      </c>
      <c r="O40" s="14">
        <v>2</v>
      </c>
      <c r="P40" s="14">
        <v>2</v>
      </c>
      <c r="Q40" s="14">
        <v>2</v>
      </c>
      <c r="R40" s="14">
        <v>3</v>
      </c>
    </row>
    <row r="41" spans="1:18" x14ac:dyDescent="0.35">
      <c r="A41" s="14" t="s">
        <v>157</v>
      </c>
      <c r="B41" s="14">
        <v>3</v>
      </c>
      <c r="C41" s="14">
        <v>3</v>
      </c>
      <c r="D41" s="14">
        <v>2</v>
      </c>
      <c r="E41" s="14">
        <v>3</v>
      </c>
      <c r="F41" s="14">
        <v>2</v>
      </c>
      <c r="G41" s="14">
        <v>3</v>
      </c>
      <c r="H41" s="14">
        <v>2</v>
      </c>
      <c r="I41" s="14">
        <v>3</v>
      </c>
      <c r="J41" s="14">
        <v>2</v>
      </c>
      <c r="K41" s="14">
        <v>2</v>
      </c>
      <c r="L41" s="14">
        <v>3</v>
      </c>
      <c r="M41" s="14">
        <v>2</v>
      </c>
      <c r="N41" s="14">
        <v>2</v>
      </c>
      <c r="O41" s="14">
        <v>2</v>
      </c>
      <c r="P41" s="14">
        <v>2</v>
      </c>
      <c r="Q41" s="14">
        <v>3</v>
      </c>
      <c r="R41" s="14">
        <v>2</v>
      </c>
    </row>
    <row r="42" spans="1:18" x14ac:dyDescent="0.35">
      <c r="A42" s="14" t="s">
        <v>160</v>
      </c>
      <c r="B42" s="14">
        <v>2</v>
      </c>
      <c r="C42" s="14">
        <v>2</v>
      </c>
      <c r="D42" s="14">
        <v>3</v>
      </c>
      <c r="E42" s="14">
        <v>2</v>
      </c>
      <c r="F42" s="14">
        <v>3</v>
      </c>
      <c r="G42" s="14">
        <v>3</v>
      </c>
      <c r="H42" s="14">
        <v>2</v>
      </c>
      <c r="I42" s="14">
        <v>2</v>
      </c>
      <c r="J42" s="14">
        <v>2</v>
      </c>
      <c r="K42" s="14">
        <v>2</v>
      </c>
      <c r="L42" s="14">
        <v>3</v>
      </c>
      <c r="M42" s="14">
        <v>3</v>
      </c>
      <c r="N42" s="14">
        <v>2</v>
      </c>
      <c r="O42" s="14">
        <v>3</v>
      </c>
      <c r="P42" s="14">
        <v>3</v>
      </c>
      <c r="Q42" s="14">
        <v>2</v>
      </c>
      <c r="R42" s="14">
        <v>2</v>
      </c>
    </row>
    <row r="43" spans="1:18" x14ac:dyDescent="0.35">
      <c r="A43" s="14" t="s">
        <v>163</v>
      </c>
      <c r="B43" s="14">
        <v>2</v>
      </c>
      <c r="C43" s="14">
        <v>2</v>
      </c>
      <c r="D43" s="14">
        <v>3</v>
      </c>
      <c r="E43" s="14">
        <v>2</v>
      </c>
      <c r="F43" s="14">
        <v>3</v>
      </c>
      <c r="G43" s="14">
        <v>2</v>
      </c>
      <c r="H43" s="14">
        <v>2</v>
      </c>
      <c r="I43" s="14">
        <v>2</v>
      </c>
      <c r="J43" s="14">
        <v>2</v>
      </c>
      <c r="K43" s="14">
        <v>2</v>
      </c>
      <c r="L43" s="14">
        <v>2</v>
      </c>
      <c r="M43" s="14">
        <v>3</v>
      </c>
      <c r="N43" s="14">
        <v>2</v>
      </c>
      <c r="O43" s="14">
        <v>3</v>
      </c>
      <c r="P43" s="14">
        <v>3</v>
      </c>
      <c r="Q43" s="14">
        <v>2</v>
      </c>
      <c r="R43" s="14">
        <v>2</v>
      </c>
    </row>
    <row r="44" spans="1:18" x14ac:dyDescent="0.35">
      <c r="A44" s="14" t="s">
        <v>166</v>
      </c>
      <c r="B44" s="14">
        <v>2</v>
      </c>
      <c r="C44" s="14">
        <v>2</v>
      </c>
      <c r="D44" s="14">
        <v>2</v>
      </c>
      <c r="E44" s="14">
        <v>2</v>
      </c>
      <c r="F44" s="14">
        <v>2</v>
      </c>
      <c r="G44" s="14">
        <v>2</v>
      </c>
      <c r="H44" s="14">
        <v>2</v>
      </c>
      <c r="I44" s="14">
        <v>2</v>
      </c>
      <c r="J44" s="14">
        <v>2</v>
      </c>
      <c r="K44" s="14">
        <v>2</v>
      </c>
      <c r="L44" s="14">
        <v>2</v>
      </c>
      <c r="M44" s="14">
        <v>2</v>
      </c>
      <c r="N44" s="14">
        <v>2</v>
      </c>
      <c r="O44" s="14">
        <v>2</v>
      </c>
      <c r="P44" s="14">
        <v>2</v>
      </c>
      <c r="Q44" s="14">
        <v>2</v>
      </c>
      <c r="R44" s="14">
        <v>2</v>
      </c>
    </row>
    <row r="45" spans="1:18" x14ac:dyDescent="0.35">
      <c r="A45" s="14" t="s">
        <v>169</v>
      </c>
      <c r="B45" s="14">
        <v>2</v>
      </c>
      <c r="C45" s="14">
        <v>2</v>
      </c>
      <c r="D45" s="14">
        <v>2</v>
      </c>
      <c r="E45" s="14">
        <v>2</v>
      </c>
      <c r="F45" s="14">
        <v>2</v>
      </c>
      <c r="G45" s="14">
        <v>3</v>
      </c>
      <c r="H45" s="14">
        <v>3</v>
      </c>
      <c r="I45" s="14">
        <v>2</v>
      </c>
      <c r="J45" s="14">
        <v>2</v>
      </c>
      <c r="K45" s="14">
        <v>2</v>
      </c>
      <c r="L45" s="14">
        <v>3</v>
      </c>
      <c r="M45" s="14">
        <v>2</v>
      </c>
      <c r="N45" s="14">
        <v>3</v>
      </c>
      <c r="O45" s="14">
        <v>2</v>
      </c>
      <c r="P45" s="14">
        <v>3</v>
      </c>
      <c r="Q45" s="14">
        <v>2</v>
      </c>
      <c r="R45" s="14">
        <v>2</v>
      </c>
    </row>
    <row r="46" spans="1:18" x14ac:dyDescent="0.35">
      <c r="A46" s="14" t="s">
        <v>172</v>
      </c>
      <c r="B46" s="14">
        <v>3</v>
      </c>
      <c r="C46" s="14">
        <v>3</v>
      </c>
      <c r="D46" s="14">
        <v>2</v>
      </c>
      <c r="E46" s="14">
        <v>2</v>
      </c>
      <c r="F46" s="14">
        <v>2</v>
      </c>
      <c r="G46" s="14">
        <v>2</v>
      </c>
      <c r="H46" s="14">
        <v>2</v>
      </c>
      <c r="I46" s="14">
        <v>3</v>
      </c>
      <c r="J46" s="14">
        <v>3</v>
      </c>
      <c r="K46" s="14">
        <v>2</v>
      </c>
      <c r="L46" s="14">
        <v>2</v>
      </c>
      <c r="M46" s="14">
        <v>2</v>
      </c>
      <c r="N46" s="14">
        <v>2</v>
      </c>
      <c r="O46" s="14">
        <v>2</v>
      </c>
      <c r="P46" s="14">
        <v>2</v>
      </c>
      <c r="Q46" s="14">
        <v>3</v>
      </c>
      <c r="R46" s="14">
        <v>2</v>
      </c>
    </row>
    <row r="47" spans="1:18" x14ac:dyDescent="0.35">
      <c r="A47" s="14" t="s">
        <v>175</v>
      </c>
      <c r="B47" s="14">
        <v>2</v>
      </c>
      <c r="C47" s="14">
        <v>2</v>
      </c>
      <c r="D47" s="14">
        <v>3</v>
      </c>
      <c r="E47" s="14">
        <v>3</v>
      </c>
      <c r="F47" s="14">
        <v>3</v>
      </c>
      <c r="G47" s="14">
        <v>2</v>
      </c>
      <c r="H47" s="14">
        <v>2</v>
      </c>
      <c r="I47" s="14">
        <v>2</v>
      </c>
      <c r="J47" s="14">
        <v>2</v>
      </c>
      <c r="K47" s="14">
        <v>3</v>
      </c>
      <c r="L47" s="14">
        <v>2</v>
      </c>
      <c r="M47" s="14">
        <v>3</v>
      </c>
      <c r="N47" s="14">
        <v>2</v>
      </c>
      <c r="O47" s="14">
        <v>3</v>
      </c>
      <c r="P47" s="14">
        <v>3</v>
      </c>
      <c r="Q47" s="14">
        <v>2</v>
      </c>
      <c r="R47" s="14">
        <v>3</v>
      </c>
    </row>
    <row r="48" spans="1:18" x14ac:dyDescent="0.35">
      <c r="A48" s="14" t="s">
        <v>178</v>
      </c>
      <c r="B48" s="14">
        <v>3</v>
      </c>
      <c r="C48" s="14">
        <v>2</v>
      </c>
      <c r="D48" s="14">
        <v>2</v>
      </c>
      <c r="E48" s="14">
        <v>2</v>
      </c>
      <c r="F48" s="14">
        <v>2</v>
      </c>
      <c r="G48" s="14">
        <v>3</v>
      </c>
      <c r="H48" s="14">
        <v>2</v>
      </c>
      <c r="I48" s="14">
        <v>3</v>
      </c>
      <c r="J48" s="14">
        <v>2</v>
      </c>
      <c r="K48" s="14">
        <v>2</v>
      </c>
      <c r="L48" s="14">
        <v>3</v>
      </c>
      <c r="M48" s="14">
        <v>2</v>
      </c>
      <c r="N48" s="14">
        <v>2</v>
      </c>
      <c r="O48" s="14">
        <v>2</v>
      </c>
      <c r="P48" s="14">
        <v>2</v>
      </c>
      <c r="Q48" s="14">
        <v>3</v>
      </c>
      <c r="R48" s="14">
        <v>2</v>
      </c>
    </row>
    <row r="49" spans="1:18" x14ac:dyDescent="0.35">
      <c r="A49" s="14" t="s">
        <v>181</v>
      </c>
      <c r="B49" s="14">
        <v>2</v>
      </c>
      <c r="C49" s="14">
        <v>2</v>
      </c>
      <c r="D49" s="14">
        <v>2</v>
      </c>
      <c r="E49" s="14">
        <v>2</v>
      </c>
      <c r="F49" s="14">
        <v>2</v>
      </c>
      <c r="G49" s="14">
        <v>2</v>
      </c>
      <c r="H49" s="14">
        <v>2</v>
      </c>
      <c r="I49" s="14">
        <v>2</v>
      </c>
      <c r="J49" s="14">
        <v>2</v>
      </c>
      <c r="K49" s="14">
        <v>2</v>
      </c>
      <c r="L49" s="14">
        <v>2</v>
      </c>
      <c r="M49" s="14">
        <v>2</v>
      </c>
      <c r="N49" s="14">
        <v>2</v>
      </c>
      <c r="O49" s="14">
        <v>2</v>
      </c>
      <c r="P49" s="14">
        <v>2</v>
      </c>
      <c r="Q49" s="14">
        <v>2</v>
      </c>
      <c r="R49" s="14">
        <v>2</v>
      </c>
    </row>
    <row r="50" spans="1:18" x14ac:dyDescent="0.35">
      <c r="A50" s="14" t="s">
        <v>227</v>
      </c>
      <c r="B50" s="14">
        <v>2</v>
      </c>
      <c r="C50" s="14">
        <v>1</v>
      </c>
      <c r="D50" s="14">
        <v>2</v>
      </c>
      <c r="E50" s="14">
        <v>2</v>
      </c>
      <c r="F50" s="14">
        <v>1</v>
      </c>
      <c r="G50" s="14">
        <v>2</v>
      </c>
      <c r="H50" s="14">
        <v>2</v>
      </c>
      <c r="I50" s="14">
        <v>2</v>
      </c>
      <c r="J50" s="14">
        <v>1</v>
      </c>
      <c r="K50" s="14">
        <v>2</v>
      </c>
      <c r="L50" s="14">
        <v>2</v>
      </c>
      <c r="M50" s="14">
        <v>2</v>
      </c>
      <c r="N50" s="14">
        <v>1</v>
      </c>
      <c r="O50" s="14">
        <v>2</v>
      </c>
      <c r="P50" s="14">
        <v>1</v>
      </c>
      <c r="Q50" s="14">
        <v>2</v>
      </c>
      <c r="R50" s="14">
        <v>1</v>
      </c>
    </row>
    <row r="51" spans="1:18" x14ac:dyDescent="0.35">
      <c r="A51" s="14" t="s">
        <v>224</v>
      </c>
      <c r="B51" s="14">
        <v>3</v>
      </c>
      <c r="C51" s="14">
        <v>2</v>
      </c>
      <c r="D51" s="14">
        <v>2</v>
      </c>
      <c r="E51" s="14">
        <v>2</v>
      </c>
      <c r="F51" s="14">
        <v>2</v>
      </c>
      <c r="G51" s="14">
        <v>2</v>
      </c>
      <c r="H51" s="14">
        <v>1</v>
      </c>
      <c r="I51" s="14">
        <v>3</v>
      </c>
      <c r="J51" s="14">
        <v>2</v>
      </c>
      <c r="K51" s="14">
        <v>2</v>
      </c>
      <c r="L51" s="14">
        <v>2</v>
      </c>
      <c r="M51" s="14">
        <v>2</v>
      </c>
      <c r="N51" s="14">
        <v>1</v>
      </c>
      <c r="O51" s="14">
        <v>2</v>
      </c>
      <c r="P51" s="14">
        <v>2</v>
      </c>
      <c r="Q51" s="14">
        <v>3</v>
      </c>
      <c r="R51" s="14">
        <v>2</v>
      </c>
    </row>
    <row r="52" spans="1:18" x14ac:dyDescent="0.35">
      <c r="A52" s="14" t="s">
        <v>248</v>
      </c>
      <c r="B52" s="14">
        <v>1</v>
      </c>
      <c r="C52" s="14">
        <v>2</v>
      </c>
      <c r="D52" s="14">
        <v>1</v>
      </c>
      <c r="E52" s="14">
        <v>2</v>
      </c>
      <c r="F52" s="14">
        <v>2</v>
      </c>
      <c r="G52" s="14">
        <v>1</v>
      </c>
      <c r="H52" s="14">
        <v>2</v>
      </c>
      <c r="I52" s="14">
        <v>2</v>
      </c>
      <c r="J52" s="14">
        <v>2</v>
      </c>
      <c r="K52" s="14">
        <v>1</v>
      </c>
      <c r="L52" s="14">
        <v>1</v>
      </c>
      <c r="M52" s="14">
        <v>2</v>
      </c>
      <c r="N52" s="14">
        <v>2</v>
      </c>
      <c r="O52" s="14">
        <v>1</v>
      </c>
      <c r="P52" s="14">
        <v>2</v>
      </c>
      <c r="Q52" s="14">
        <v>2</v>
      </c>
      <c r="R52" s="14">
        <v>1</v>
      </c>
    </row>
    <row r="53" spans="1:18" x14ac:dyDescent="0.35">
      <c r="A53" s="14" t="s">
        <v>226</v>
      </c>
      <c r="B53" s="14">
        <v>2</v>
      </c>
      <c r="C53" s="14">
        <v>3</v>
      </c>
      <c r="D53" s="14">
        <v>2</v>
      </c>
      <c r="E53" s="14">
        <v>2</v>
      </c>
      <c r="F53" s="14">
        <v>2</v>
      </c>
      <c r="G53" s="14">
        <v>2</v>
      </c>
      <c r="H53" s="14">
        <v>1</v>
      </c>
      <c r="I53" s="14">
        <v>2</v>
      </c>
      <c r="J53" s="14">
        <v>3</v>
      </c>
      <c r="K53" s="14">
        <v>2</v>
      </c>
      <c r="L53" s="14">
        <v>2</v>
      </c>
      <c r="M53" s="14">
        <v>2</v>
      </c>
      <c r="N53" s="14">
        <v>1</v>
      </c>
      <c r="O53" s="14">
        <v>2</v>
      </c>
      <c r="P53" s="14">
        <v>2</v>
      </c>
      <c r="Q53" s="14">
        <v>2</v>
      </c>
      <c r="R53" s="14">
        <v>2</v>
      </c>
    </row>
    <row r="54" spans="1:18" x14ac:dyDescent="0.35">
      <c r="A54" s="14" t="s">
        <v>225</v>
      </c>
      <c r="B54" s="14">
        <v>3</v>
      </c>
      <c r="C54" s="14">
        <v>2</v>
      </c>
      <c r="D54" s="14">
        <v>3</v>
      </c>
      <c r="E54" s="14">
        <v>2</v>
      </c>
      <c r="F54" s="14">
        <v>3</v>
      </c>
      <c r="G54" s="14">
        <v>2</v>
      </c>
      <c r="H54" s="14">
        <v>2</v>
      </c>
      <c r="I54" s="14">
        <v>3</v>
      </c>
      <c r="J54" s="14">
        <v>2</v>
      </c>
      <c r="K54" s="14">
        <v>2</v>
      </c>
      <c r="L54" s="14">
        <v>2</v>
      </c>
      <c r="M54" s="14">
        <v>3</v>
      </c>
      <c r="N54" s="14">
        <v>2</v>
      </c>
      <c r="O54" s="14">
        <v>3</v>
      </c>
      <c r="P54" s="14">
        <v>2</v>
      </c>
      <c r="Q54" s="14">
        <v>3</v>
      </c>
      <c r="R54" s="14">
        <v>2</v>
      </c>
    </row>
    <row r="56" spans="1:18" x14ac:dyDescent="0.35">
      <c r="A56" s="70" t="s">
        <v>76</v>
      </c>
      <c r="B56" s="70"/>
      <c r="C56" s="70"/>
      <c r="D56" s="70"/>
      <c r="E56" s="70"/>
      <c r="F56" s="70"/>
      <c r="G56" s="70"/>
      <c r="H56" s="70"/>
      <c r="I56" s="70"/>
      <c r="J56" s="70"/>
      <c r="K56" s="70"/>
      <c r="L56" s="70"/>
      <c r="M56" s="70"/>
      <c r="N56" s="70"/>
      <c r="O56" s="70"/>
      <c r="P56" s="70"/>
      <c r="Q56" s="70"/>
      <c r="R56" s="70"/>
    </row>
    <row r="57" spans="1:18" x14ac:dyDescent="0.35">
      <c r="A57" s="45" t="s">
        <v>106</v>
      </c>
      <c r="B57" s="45" t="s">
        <v>110</v>
      </c>
      <c r="C57" s="45" t="s">
        <v>111</v>
      </c>
      <c r="D57" s="45" t="s">
        <v>112</v>
      </c>
      <c r="E57" s="45" t="s">
        <v>113</v>
      </c>
      <c r="F57" s="45" t="s">
        <v>114</v>
      </c>
      <c r="G57" s="45" t="s">
        <v>115</v>
      </c>
      <c r="H57" s="45" t="s">
        <v>116</v>
      </c>
      <c r="I57" s="45" t="s">
        <v>117</v>
      </c>
      <c r="J57" s="45" t="s">
        <v>118</v>
      </c>
      <c r="K57" s="45" t="s">
        <v>119</v>
      </c>
      <c r="L57" s="45" t="s">
        <v>120</v>
      </c>
      <c r="M57" s="45" t="s">
        <v>121</v>
      </c>
      <c r="N57" s="45" t="s">
        <v>122</v>
      </c>
      <c r="O57" s="45" t="s">
        <v>124</v>
      </c>
      <c r="P57" s="45" t="s">
        <v>125</v>
      </c>
      <c r="Q57" s="45" t="s">
        <v>126</v>
      </c>
      <c r="R57" s="45" t="s">
        <v>127</v>
      </c>
    </row>
    <row r="58" spans="1:18" x14ac:dyDescent="0.35">
      <c r="A58" s="14" t="s">
        <v>130</v>
      </c>
      <c r="B58" s="14">
        <v>3</v>
      </c>
      <c r="C58" s="14">
        <v>2</v>
      </c>
      <c r="D58" s="14">
        <v>2</v>
      </c>
      <c r="E58" s="14">
        <v>2</v>
      </c>
      <c r="F58" s="14">
        <v>2</v>
      </c>
      <c r="G58" s="14">
        <v>3</v>
      </c>
      <c r="H58" s="14">
        <v>2</v>
      </c>
      <c r="I58" s="14">
        <v>3</v>
      </c>
      <c r="J58" s="14">
        <v>2</v>
      </c>
      <c r="K58" s="14">
        <v>3</v>
      </c>
      <c r="L58" s="14">
        <v>3</v>
      </c>
      <c r="M58" s="14">
        <v>2</v>
      </c>
      <c r="N58" s="14">
        <v>2</v>
      </c>
      <c r="O58" s="14">
        <v>2</v>
      </c>
      <c r="P58" s="14">
        <v>2</v>
      </c>
      <c r="Q58" s="14">
        <v>3</v>
      </c>
      <c r="R58" s="14">
        <v>2</v>
      </c>
    </row>
    <row r="59" spans="1:18" x14ac:dyDescent="0.35">
      <c r="A59" s="14" t="s">
        <v>134</v>
      </c>
      <c r="B59" s="14">
        <v>3</v>
      </c>
      <c r="C59" s="14">
        <v>2</v>
      </c>
      <c r="D59" s="14">
        <v>3</v>
      </c>
      <c r="E59" s="14">
        <v>2</v>
      </c>
      <c r="F59" s="14">
        <v>3</v>
      </c>
      <c r="G59" s="14">
        <v>2</v>
      </c>
      <c r="H59" s="14">
        <v>2</v>
      </c>
      <c r="I59" s="14">
        <v>3</v>
      </c>
      <c r="J59" s="14">
        <v>2</v>
      </c>
      <c r="K59" s="14">
        <v>2</v>
      </c>
      <c r="L59" s="14">
        <v>2</v>
      </c>
      <c r="M59" s="14">
        <v>3</v>
      </c>
      <c r="N59" s="14">
        <v>2</v>
      </c>
      <c r="O59" s="14">
        <v>3</v>
      </c>
      <c r="P59" s="14">
        <v>3</v>
      </c>
      <c r="Q59" s="14">
        <v>3</v>
      </c>
      <c r="R59" s="14">
        <v>2</v>
      </c>
    </row>
    <row r="60" spans="1:18" x14ac:dyDescent="0.35">
      <c r="A60" s="14" t="s">
        <v>241</v>
      </c>
      <c r="B60" s="14">
        <v>2</v>
      </c>
      <c r="C60" s="14">
        <v>3</v>
      </c>
      <c r="D60" s="14">
        <v>3</v>
      </c>
      <c r="E60" s="14">
        <v>2</v>
      </c>
      <c r="F60" s="14">
        <v>3</v>
      </c>
      <c r="G60" s="14">
        <v>2</v>
      </c>
      <c r="H60" s="14">
        <v>3</v>
      </c>
      <c r="I60" s="14">
        <v>3</v>
      </c>
      <c r="J60" s="14">
        <v>2</v>
      </c>
      <c r="K60" s="14">
        <v>3</v>
      </c>
      <c r="L60" s="14">
        <v>2</v>
      </c>
      <c r="M60" s="14">
        <v>3</v>
      </c>
      <c r="N60" s="14">
        <v>2</v>
      </c>
      <c r="O60" s="14">
        <v>3</v>
      </c>
      <c r="P60" s="14">
        <v>3</v>
      </c>
      <c r="Q60" s="14">
        <v>2</v>
      </c>
      <c r="R60" s="14">
        <v>3</v>
      </c>
    </row>
    <row r="61" spans="1:18" x14ac:dyDescent="0.35">
      <c r="A61" s="14" t="s">
        <v>244</v>
      </c>
      <c r="B61" s="14">
        <v>3</v>
      </c>
      <c r="C61" s="14">
        <v>2</v>
      </c>
      <c r="D61" s="14">
        <v>3</v>
      </c>
      <c r="E61" s="14">
        <v>2</v>
      </c>
      <c r="F61" s="14">
        <v>3</v>
      </c>
      <c r="G61" s="14">
        <v>2</v>
      </c>
      <c r="H61" s="14">
        <v>2</v>
      </c>
      <c r="I61" s="14">
        <v>2</v>
      </c>
      <c r="J61" s="14">
        <v>3</v>
      </c>
      <c r="K61" s="14">
        <v>2</v>
      </c>
      <c r="L61" s="14">
        <v>3</v>
      </c>
      <c r="M61" s="14">
        <v>2</v>
      </c>
      <c r="N61" s="14">
        <v>2</v>
      </c>
      <c r="O61" s="14">
        <v>2</v>
      </c>
      <c r="P61" s="14">
        <v>2</v>
      </c>
      <c r="Q61" s="14">
        <v>3</v>
      </c>
      <c r="R61" s="14">
        <v>2</v>
      </c>
    </row>
    <row r="66" spans="1:21" x14ac:dyDescent="0.35">
      <c r="A66" s="70" t="s">
        <v>251</v>
      </c>
      <c r="B66" s="70"/>
      <c r="C66" s="70"/>
      <c r="D66" s="70"/>
      <c r="E66" s="70"/>
      <c r="F66" s="70"/>
      <c r="G66" s="70"/>
      <c r="H66" s="70"/>
      <c r="I66" s="70"/>
      <c r="J66" s="70"/>
      <c r="K66" s="70"/>
      <c r="L66" s="70"/>
      <c r="M66" s="70"/>
      <c r="S66" s="42" t="s">
        <v>186</v>
      </c>
      <c r="T66" s="42" t="s">
        <v>187</v>
      </c>
      <c r="U66" s="42" t="s">
        <v>188</v>
      </c>
    </row>
    <row r="67" spans="1:21" x14ac:dyDescent="0.35">
      <c r="A67" s="43" t="s">
        <v>236</v>
      </c>
      <c r="B67" s="45" t="s">
        <v>106</v>
      </c>
      <c r="C67" s="45" t="s">
        <v>49</v>
      </c>
      <c r="D67" s="45" t="s">
        <v>53</v>
      </c>
      <c r="E67" s="45" t="s">
        <v>58</v>
      </c>
      <c r="F67" s="45" t="s">
        <v>59</v>
      </c>
      <c r="G67" s="45" t="s">
        <v>88</v>
      </c>
      <c r="H67" s="45" t="s">
        <v>184</v>
      </c>
      <c r="I67" s="45" t="s">
        <v>185</v>
      </c>
      <c r="J67" s="42" t="s">
        <v>86</v>
      </c>
      <c r="K67" s="42" t="s">
        <v>87</v>
      </c>
      <c r="L67" s="42" t="s">
        <v>104</v>
      </c>
      <c r="M67" s="42" t="s">
        <v>191</v>
      </c>
      <c r="S67" s="103" t="s">
        <v>49</v>
      </c>
      <c r="T67" s="103">
        <v>6</v>
      </c>
      <c r="U67" s="4" t="s">
        <v>130</v>
      </c>
    </row>
    <row r="68" spans="1:21" x14ac:dyDescent="0.35">
      <c r="A68" s="4">
        <v>1</v>
      </c>
      <c r="B68" s="14" t="s">
        <v>130</v>
      </c>
      <c r="C68" s="4">
        <f t="shared" ref="C68:C92" si="0">SQRT(SUMXMY2(B30:R30, $B$58:$R$58))</f>
        <v>0</v>
      </c>
      <c r="D68" s="4">
        <f t="shared" ref="D68:D92" si="1">SQRT(SUMXMY2(B30:R30, $B$59:$R$59))</f>
        <v>2.8284271247461903</v>
      </c>
      <c r="E68" s="4">
        <f t="shared" ref="E68:E92" si="2">SQRT(SUMXMY2(B30:R30, $B$60:$R$60))</f>
        <v>3.4641016151377544</v>
      </c>
      <c r="F68" s="4">
        <f t="shared" ref="F68:F92" si="3">SQRT(SUMXMY2(B30:R30, $B$61:$R$61))</f>
        <v>2.4494897427831779</v>
      </c>
      <c r="G68" s="4" t="e">
        <f t="shared" ref="G68:G92" si="4">SQRT(SUMXMY2(B30:R30, $B$62:$R$62))</f>
        <v>#DIV/0!</v>
      </c>
      <c r="H68" s="4" t="e">
        <f t="shared" ref="H68:H92" si="5">SQRT(SUMXMY2(B30:R30, $B$63:$R$63))</f>
        <v>#DIV/0!</v>
      </c>
      <c r="I68" s="4" t="e">
        <f t="shared" ref="I68:I92" si="6">SQRT(SUMXMY2(B30:R30, $B$64:$R$64))</f>
        <v>#DIV/0!</v>
      </c>
      <c r="J68" s="4" t="e">
        <f>MIN(C68:I68)</f>
        <v>#DIV/0!</v>
      </c>
      <c r="K68" s="4" t="e">
        <f>"C"&amp;MATCH(J68,C68:I68,0)</f>
        <v>#DIV/0!</v>
      </c>
      <c r="L68" s="14" t="e">
        <f>J68^2</f>
        <v>#DIV/0!</v>
      </c>
      <c r="M68" s="14" t="e">
        <f>SUM(L68:L92)</f>
        <v>#DIV/0!</v>
      </c>
      <c r="S68" s="104"/>
      <c r="T68" s="104"/>
      <c r="U68" s="4" t="s">
        <v>157</v>
      </c>
    </row>
    <row r="69" spans="1:21" x14ac:dyDescent="0.35">
      <c r="A69" s="4">
        <v>2</v>
      </c>
      <c r="B69" s="14" t="s">
        <v>134</v>
      </c>
      <c r="C69" s="4">
        <f t="shared" si="0"/>
        <v>2.8284271247461903</v>
      </c>
      <c r="D69" s="4">
        <f t="shared" si="1"/>
        <v>0</v>
      </c>
      <c r="E69" s="4">
        <f t="shared" si="2"/>
        <v>2.4494897427831779</v>
      </c>
      <c r="F69" s="4">
        <f t="shared" si="3"/>
        <v>2.4494897427831779</v>
      </c>
      <c r="G69" s="4" t="e">
        <f t="shared" si="4"/>
        <v>#DIV/0!</v>
      </c>
      <c r="H69" s="4" t="e">
        <f t="shared" si="5"/>
        <v>#DIV/0!</v>
      </c>
      <c r="I69" s="4" t="e">
        <f t="shared" si="6"/>
        <v>#DIV/0!</v>
      </c>
      <c r="J69" s="4" t="e">
        <f t="shared" ref="J69:J92" si="7">MIN(C69:I69)</f>
        <v>#DIV/0!</v>
      </c>
      <c r="K69" s="4" t="e">
        <f t="shared" ref="K69:K92" si="8">"C"&amp;MATCH(J69,C69:I69,0)</f>
        <v>#DIV/0!</v>
      </c>
      <c r="L69" s="14" t="e">
        <f t="shared" ref="L69:L89" si="9">J69^2</f>
        <v>#DIV/0!</v>
      </c>
      <c r="S69" s="104"/>
      <c r="T69" s="104"/>
      <c r="U69" s="4" t="s">
        <v>172</v>
      </c>
    </row>
    <row r="70" spans="1:21" x14ac:dyDescent="0.35">
      <c r="A70" s="4">
        <v>3</v>
      </c>
      <c r="B70" s="14" t="s">
        <v>241</v>
      </c>
      <c r="C70" s="4">
        <f t="shared" si="0"/>
        <v>3.4641016151377544</v>
      </c>
      <c r="D70" s="4">
        <f t="shared" si="1"/>
        <v>2.4494897427831779</v>
      </c>
      <c r="E70" s="4">
        <f t="shared" si="2"/>
        <v>0</v>
      </c>
      <c r="F70" s="4">
        <f t="shared" si="3"/>
        <v>3.4641016151377544</v>
      </c>
      <c r="G70" s="4" t="e">
        <f t="shared" si="4"/>
        <v>#DIV/0!</v>
      </c>
      <c r="H70" s="4" t="e">
        <f t="shared" si="5"/>
        <v>#DIV/0!</v>
      </c>
      <c r="I70" s="4" t="e">
        <f t="shared" si="6"/>
        <v>#DIV/0!</v>
      </c>
      <c r="J70" s="4" t="e">
        <f t="shared" si="7"/>
        <v>#DIV/0!</v>
      </c>
      <c r="K70" s="4" t="e">
        <f t="shared" si="8"/>
        <v>#DIV/0!</v>
      </c>
      <c r="L70" s="14" t="e">
        <f t="shared" si="9"/>
        <v>#DIV/0!</v>
      </c>
      <c r="S70" s="104"/>
      <c r="T70" s="104"/>
      <c r="U70" s="4" t="s">
        <v>178</v>
      </c>
    </row>
    <row r="71" spans="1:21" x14ac:dyDescent="0.35">
      <c r="A71" s="4">
        <v>4</v>
      </c>
      <c r="B71" s="14" t="s">
        <v>244</v>
      </c>
      <c r="C71" s="4">
        <f t="shared" si="0"/>
        <v>2.4494897427831779</v>
      </c>
      <c r="D71" s="4">
        <f t="shared" si="1"/>
        <v>2.4494897427831779</v>
      </c>
      <c r="E71" s="4">
        <f t="shared" si="2"/>
        <v>3.4641016151377544</v>
      </c>
      <c r="F71" s="4">
        <f t="shared" si="3"/>
        <v>0</v>
      </c>
      <c r="G71" s="4" t="e">
        <f t="shared" si="4"/>
        <v>#DIV/0!</v>
      </c>
      <c r="H71" s="4" t="e">
        <f t="shared" si="5"/>
        <v>#DIV/0!</v>
      </c>
      <c r="I71" s="4" t="e">
        <f t="shared" si="6"/>
        <v>#DIV/0!</v>
      </c>
      <c r="J71" s="4" t="e">
        <f t="shared" si="7"/>
        <v>#DIV/0!</v>
      </c>
      <c r="K71" s="4" t="e">
        <f t="shared" si="8"/>
        <v>#DIV/0!</v>
      </c>
      <c r="L71" s="14" t="e">
        <f t="shared" si="9"/>
        <v>#DIV/0!</v>
      </c>
      <c r="S71" s="104"/>
      <c r="T71" s="104"/>
      <c r="U71" s="4" t="s">
        <v>224</v>
      </c>
    </row>
    <row r="72" spans="1:21" x14ac:dyDescent="0.35">
      <c r="A72" s="4">
        <v>5</v>
      </c>
      <c r="B72" s="14" t="s">
        <v>137</v>
      </c>
      <c r="C72" s="4">
        <f t="shared" si="0"/>
        <v>2.6457513110645907</v>
      </c>
      <c r="D72" s="4">
        <f t="shared" si="1"/>
        <v>3.3166247903553998</v>
      </c>
      <c r="E72" s="4">
        <f t="shared" si="2"/>
        <v>3</v>
      </c>
      <c r="F72" s="4">
        <f t="shared" si="3"/>
        <v>3</v>
      </c>
      <c r="G72" s="4" t="e">
        <f t="shared" si="4"/>
        <v>#DIV/0!</v>
      </c>
      <c r="H72" s="4" t="e">
        <f t="shared" si="5"/>
        <v>#DIV/0!</v>
      </c>
      <c r="I72" s="4" t="e">
        <f t="shared" si="6"/>
        <v>#DIV/0!</v>
      </c>
      <c r="J72" s="4" t="e">
        <f t="shared" si="7"/>
        <v>#DIV/0!</v>
      </c>
      <c r="K72" s="4" t="e">
        <f t="shared" si="8"/>
        <v>#DIV/0!</v>
      </c>
      <c r="L72" s="14" t="e">
        <f t="shared" si="9"/>
        <v>#DIV/0!</v>
      </c>
      <c r="S72" s="105"/>
      <c r="T72" s="105"/>
      <c r="U72" s="41" t="s">
        <v>169</v>
      </c>
    </row>
    <row r="73" spans="1:21" x14ac:dyDescent="0.35">
      <c r="A73" s="4">
        <v>6</v>
      </c>
      <c r="B73" s="14" t="s">
        <v>140</v>
      </c>
      <c r="C73" s="4">
        <f t="shared" si="0"/>
        <v>3.1622776601683795</v>
      </c>
      <c r="D73" s="4">
        <f t="shared" si="1"/>
        <v>2</v>
      </c>
      <c r="E73" s="4">
        <f t="shared" si="2"/>
        <v>2.4494897427831779</v>
      </c>
      <c r="F73" s="4">
        <f t="shared" si="3"/>
        <v>2.4494897427831779</v>
      </c>
      <c r="G73" s="4" t="e">
        <f t="shared" si="4"/>
        <v>#DIV/0!</v>
      </c>
      <c r="H73" s="4" t="e">
        <f t="shared" si="5"/>
        <v>#DIV/0!</v>
      </c>
      <c r="I73" s="4" t="e">
        <f t="shared" si="6"/>
        <v>#DIV/0!</v>
      </c>
      <c r="J73" s="4" t="e">
        <f t="shared" si="7"/>
        <v>#DIV/0!</v>
      </c>
      <c r="K73" s="4" t="e">
        <f t="shared" si="8"/>
        <v>#DIV/0!</v>
      </c>
      <c r="L73" s="14" t="e">
        <f t="shared" si="9"/>
        <v>#DIV/0!</v>
      </c>
      <c r="S73" s="72" t="s">
        <v>53</v>
      </c>
      <c r="T73" s="72">
        <v>2</v>
      </c>
      <c r="U73" s="41" t="s">
        <v>134</v>
      </c>
    </row>
    <row r="74" spans="1:21" x14ac:dyDescent="0.35">
      <c r="A74" s="4">
        <v>7</v>
      </c>
      <c r="B74" s="14" t="s">
        <v>143</v>
      </c>
      <c r="C74" s="4">
        <f t="shared" si="0"/>
        <v>3.1622776601683795</v>
      </c>
      <c r="D74" s="4">
        <f t="shared" si="1"/>
        <v>2.4494897427831779</v>
      </c>
      <c r="E74" s="4">
        <f t="shared" si="2"/>
        <v>2.8284271247461903</v>
      </c>
      <c r="F74" s="4">
        <f t="shared" si="3"/>
        <v>2</v>
      </c>
      <c r="G74" s="4" t="e">
        <f t="shared" si="4"/>
        <v>#DIV/0!</v>
      </c>
      <c r="H74" s="4" t="e">
        <f t="shared" si="5"/>
        <v>#DIV/0!</v>
      </c>
      <c r="I74" s="4" t="e">
        <f t="shared" si="6"/>
        <v>#DIV/0!</v>
      </c>
      <c r="J74" s="4" t="e">
        <f t="shared" si="7"/>
        <v>#DIV/0!</v>
      </c>
      <c r="K74" s="4" t="e">
        <f t="shared" si="8"/>
        <v>#DIV/0!</v>
      </c>
      <c r="L74" s="14" t="e">
        <f t="shared" si="9"/>
        <v>#DIV/0!</v>
      </c>
      <c r="S74" s="72"/>
      <c r="T74" s="72"/>
      <c r="U74" s="41" t="s">
        <v>225</v>
      </c>
    </row>
    <row r="75" spans="1:21" x14ac:dyDescent="0.35">
      <c r="A75" s="4">
        <v>8</v>
      </c>
      <c r="B75" s="14" t="s">
        <v>146</v>
      </c>
      <c r="C75" s="4">
        <f t="shared" si="0"/>
        <v>2.8284271247461903</v>
      </c>
      <c r="D75" s="4">
        <f t="shared" si="1"/>
        <v>2.8284271247461903</v>
      </c>
      <c r="E75" s="4">
        <f t="shared" si="2"/>
        <v>2.8284271247461903</v>
      </c>
      <c r="F75" s="4">
        <f t="shared" si="3"/>
        <v>2.8284271247461903</v>
      </c>
      <c r="G75" s="4" t="e">
        <f t="shared" si="4"/>
        <v>#DIV/0!</v>
      </c>
      <c r="H75" s="4" t="e">
        <f t="shared" si="5"/>
        <v>#DIV/0!</v>
      </c>
      <c r="I75" s="4" t="e">
        <f t="shared" si="6"/>
        <v>#DIV/0!</v>
      </c>
      <c r="J75" s="4" t="e">
        <f t="shared" si="7"/>
        <v>#DIV/0!</v>
      </c>
      <c r="K75" s="4" t="e">
        <f t="shared" si="8"/>
        <v>#DIV/0!</v>
      </c>
      <c r="L75" s="14" t="e">
        <f t="shared" si="9"/>
        <v>#DIV/0!</v>
      </c>
      <c r="S75" s="72" t="s">
        <v>58</v>
      </c>
      <c r="T75" s="72">
        <v>2</v>
      </c>
      <c r="U75" s="41" t="s">
        <v>241</v>
      </c>
    </row>
    <row r="76" spans="1:21" x14ac:dyDescent="0.35">
      <c r="A76" s="4">
        <v>9</v>
      </c>
      <c r="B76" s="14" t="s">
        <v>149</v>
      </c>
      <c r="C76" s="4">
        <f t="shared" si="0"/>
        <v>3.6055512754639891</v>
      </c>
      <c r="D76" s="4">
        <f t="shared" si="1"/>
        <v>2.2360679774997898</v>
      </c>
      <c r="E76" s="4">
        <f t="shared" si="2"/>
        <v>2.2360679774997898</v>
      </c>
      <c r="F76" s="4">
        <f t="shared" si="3"/>
        <v>2.6457513110645907</v>
      </c>
      <c r="G76" s="4" t="e">
        <f t="shared" si="4"/>
        <v>#DIV/0!</v>
      </c>
      <c r="H76" s="4" t="e">
        <f t="shared" si="5"/>
        <v>#DIV/0!</v>
      </c>
      <c r="I76" s="4" t="e">
        <f t="shared" si="6"/>
        <v>#DIV/0!</v>
      </c>
      <c r="J76" s="4" t="e">
        <f t="shared" si="7"/>
        <v>#DIV/0!</v>
      </c>
      <c r="K76" s="4" t="e">
        <f t="shared" si="8"/>
        <v>#DIV/0!</v>
      </c>
      <c r="L76" s="14" t="e">
        <f t="shared" si="9"/>
        <v>#DIV/0!</v>
      </c>
      <c r="S76" s="72"/>
      <c r="T76" s="72"/>
      <c r="U76" s="41" t="s">
        <v>175</v>
      </c>
    </row>
    <row r="77" spans="1:21" x14ac:dyDescent="0.35">
      <c r="A77" s="4">
        <v>10</v>
      </c>
      <c r="B77" s="14" t="s">
        <v>151</v>
      </c>
      <c r="C77" s="4">
        <f t="shared" si="0"/>
        <v>2</v>
      </c>
      <c r="D77" s="4">
        <f t="shared" si="1"/>
        <v>2.8284271247461903</v>
      </c>
      <c r="E77" s="4">
        <f t="shared" si="2"/>
        <v>3.1622776601683795</v>
      </c>
      <c r="F77" s="4">
        <f t="shared" si="3"/>
        <v>2.8284271247461903</v>
      </c>
      <c r="G77" s="4" t="e">
        <f t="shared" si="4"/>
        <v>#DIV/0!</v>
      </c>
      <c r="H77" s="4" t="e">
        <f t="shared" si="5"/>
        <v>#DIV/0!</v>
      </c>
      <c r="I77" s="4" t="e">
        <f t="shared" si="6"/>
        <v>#DIV/0!</v>
      </c>
      <c r="J77" s="4" t="e">
        <f t="shared" si="7"/>
        <v>#DIV/0!</v>
      </c>
      <c r="K77" s="4" t="e">
        <f t="shared" si="8"/>
        <v>#DIV/0!</v>
      </c>
      <c r="L77" s="14" t="e">
        <f t="shared" si="9"/>
        <v>#DIV/0!</v>
      </c>
      <c r="S77" s="41" t="s">
        <v>59</v>
      </c>
      <c r="T77" s="41">
        <v>1</v>
      </c>
      <c r="U77" s="41" t="s">
        <v>244</v>
      </c>
    </row>
    <row r="78" spans="1:21" x14ac:dyDescent="0.35">
      <c r="A78" s="4">
        <v>11</v>
      </c>
      <c r="B78" s="14" t="s">
        <v>154</v>
      </c>
      <c r="C78" s="4">
        <f t="shared" si="0"/>
        <v>2.8284271247461903</v>
      </c>
      <c r="D78" s="4">
        <f t="shared" si="1"/>
        <v>3.4641016151377544</v>
      </c>
      <c r="E78" s="4">
        <f t="shared" si="2"/>
        <v>3.4641016151377544</v>
      </c>
      <c r="F78" s="4">
        <f t="shared" si="3"/>
        <v>2.4494897427831779</v>
      </c>
      <c r="G78" s="4" t="e">
        <f t="shared" si="4"/>
        <v>#DIV/0!</v>
      </c>
      <c r="H78" s="4" t="e">
        <f t="shared" si="5"/>
        <v>#DIV/0!</v>
      </c>
      <c r="I78" s="4" t="e">
        <f t="shared" si="6"/>
        <v>#DIV/0!</v>
      </c>
      <c r="J78" s="4" t="e">
        <f t="shared" si="7"/>
        <v>#DIV/0!</v>
      </c>
      <c r="K78" s="4" t="e">
        <f t="shared" si="8"/>
        <v>#DIV/0!</v>
      </c>
      <c r="L78" s="14" t="e">
        <f t="shared" si="9"/>
        <v>#DIV/0!</v>
      </c>
      <c r="S78" s="72" t="s">
        <v>88</v>
      </c>
      <c r="T78" s="72">
        <v>9</v>
      </c>
      <c r="U78" s="41" t="s">
        <v>146</v>
      </c>
    </row>
    <row r="79" spans="1:21" x14ac:dyDescent="0.35">
      <c r="A79" s="4">
        <v>12</v>
      </c>
      <c r="B79" s="14" t="s">
        <v>157</v>
      </c>
      <c r="C79" s="4">
        <f t="shared" si="0"/>
        <v>1.7320508075688772</v>
      </c>
      <c r="D79" s="4">
        <f t="shared" si="1"/>
        <v>3</v>
      </c>
      <c r="E79" s="4">
        <f t="shared" si="2"/>
        <v>3.6055512754639891</v>
      </c>
      <c r="F79" s="4">
        <f t="shared" si="3"/>
        <v>2.6457513110645907</v>
      </c>
      <c r="G79" s="4" t="e">
        <f t="shared" si="4"/>
        <v>#DIV/0!</v>
      </c>
      <c r="H79" s="4" t="e">
        <f t="shared" si="5"/>
        <v>#DIV/0!</v>
      </c>
      <c r="I79" s="4" t="e">
        <f t="shared" si="6"/>
        <v>#DIV/0!</v>
      </c>
      <c r="J79" s="4" t="e">
        <f t="shared" si="7"/>
        <v>#DIV/0!</v>
      </c>
      <c r="K79" s="4" t="e">
        <f t="shared" si="8"/>
        <v>#DIV/0!</v>
      </c>
      <c r="L79" s="14" t="e">
        <f t="shared" si="9"/>
        <v>#DIV/0!</v>
      </c>
      <c r="S79" s="72"/>
      <c r="T79" s="72"/>
      <c r="U79" s="41" t="s">
        <v>151</v>
      </c>
    </row>
    <row r="80" spans="1:21" x14ac:dyDescent="0.35">
      <c r="A80" s="4">
        <v>13</v>
      </c>
      <c r="B80" s="14" t="s">
        <v>160</v>
      </c>
      <c r="C80" s="4">
        <f t="shared" si="0"/>
        <v>3</v>
      </c>
      <c r="D80" s="4">
        <f t="shared" si="1"/>
        <v>2.2360679774997898</v>
      </c>
      <c r="E80" s="4">
        <f t="shared" si="2"/>
        <v>2.6457513110645907</v>
      </c>
      <c r="F80" s="4">
        <f t="shared" si="3"/>
        <v>2.6457513110645907</v>
      </c>
      <c r="G80" s="4" t="e">
        <f t="shared" si="4"/>
        <v>#DIV/0!</v>
      </c>
      <c r="H80" s="4" t="e">
        <f t="shared" si="5"/>
        <v>#DIV/0!</v>
      </c>
      <c r="I80" s="4" t="e">
        <f t="shared" si="6"/>
        <v>#DIV/0!</v>
      </c>
      <c r="J80" s="4" t="e">
        <f t="shared" si="7"/>
        <v>#DIV/0!</v>
      </c>
      <c r="K80" s="4" t="e">
        <f t="shared" si="8"/>
        <v>#DIV/0!</v>
      </c>
      <c r="L80" s="14" t="e">
        <f t="shared" si="9"/>
        <v>#DIV/0!</v>
      </c>
      <c r="S80" s="72"/>
      <c r="T80" s="72"/>
      <c r="U80" s="41" t="s">
        <v>137</v>
      </c>
    </row>
    <row r="81" spans="1:21" x14ac:dyDescent="0.35">
      <c r="A81" s="4">
        <v>14</v>
      </c>
      <c r="B81" s="14" t="s">
        <v>163</v>
      </c>
      <c r="C81" s="4">
        <f t="shared" si="0"/>
        <v>3.3166247903553998</v>
      </c>
      <c r="D81" s="4">
        <f t="shared" si="1"/>
        <v>1.7320508075688772</v>
      </c>
      <c r="E81" s="4">
        <f t="shared" si="2"/>
        <v>2.2360679774997898</v>
      </c>
      <c r="F81" s="4">
        <f t="shared" si="3"/>
        <v>2.6457513110645907</v>
      </c>
      <c r="G81" s="4" t="e">
        <f t="shared" si="4"/>
        <v>#DIV/0!</v>
      </c>
      <c r="H81" s="4" t="e">
        <f t="shared" si="5"/>
        <v>#DIV/0!</v>
      </c>
      <c r="I81" s="4" t="e">
        <f t="shared" si="6"/>
        <v>#DIV/0!</v>
      </c>
      <c r="J81" s="4" t="e">
        <f t="shared" si="7"/>
        <v>#DIV/0!</v>
      </c>
      <c r="K81" s="4" t="e">
        <f t="shared" si="8"/>
        <v>#DIV/0!</v>
      </c>
      <c r="L81" s="14" t="e">
        <f t="shared" si="9"/>
        <v>#DIV/0!</v>
      </c>
      <c r="S81" s="72"/>
      <c r="T81" s="72"/>
      <c r="U81" s="41" t="s">
        <v>154</v>
      </c>
    </row>
    <row r="82" spans="1:21" x14ac:dyDescent="0.35">
      <c r="A82" s="4">
        <v>15</v>
      </c>
      <c r="B82" s="14" t="s">
        <v>166</v>
      </c>
      <c r="C82" s="4">
        <f t="shared" si="0"/>
        <v>2.4494897427831779</v>
      </c>
      <c r="D82" s="4">
        <f t="shared" si="1"/>
        <v>2.8284271247461903</v>
      </c>
      <c r="E82" s="4">
        <f t="shared" si="2"/>
        <v>3.1622776601683795</v>
      </c>
      <c r="F82" s="4">
        <f t="shared" si="3"/>
        <v>2.4494897427831779</v>
      </c>
      <c r="G82" s="4" t="e">
        <f t="shared" si="4"/>
        <v>#DIV/0!</v>
      </c>
      <c r="H82" s="4" t="e">
        <f t="shared" si="5"/>
        <v>#DIV/0!</v>
      </c>
      <c r="I82" s="4" t="e">
        <f t="shared" si="6"/>
        <v>#DIV/0!</v>
      </c>
      <c r="J82" s="4" t="e">
        <f t="shared" si="7"/>
        <v>#DIV/0!</v>
      </c>
      <c r="K82" s="4" t="e">
        <f t="shared" si="8"/>
        <v>#DIV/0!</v>
      </c>
      <c r="L82" s="14" t="e">
        <f t="shared" si="9"/>
        <v>#DIV/0!</v>
      </c>
      <c r="S82" s="72"/>
      <c r="T82" s="72"/>
      <c r="U82" s="41" t="s">
        <v>166</v>
      </c>
    </row>
    <row r="83" spans="1:21" x14ac:dyDescent="0.35">
      <c r="A83" s="4">
        <v>16</v>
      </c>
      <c r="B83" s="14" t="s">
        <v>169</v>
      </c>
      <c r="C83" s="4">
        <f t="shared" si="0"/>
        <v>2.6457513110645907</v>
      </c>
      <c r="D83" s="4">
        <f t="shared" si="1"/>
        <v>3.3166247903553998</v>
      </c>
      <c r="E83" s="4">
        <f t="shared" si="2"/>
        <v>3.3166247903553998</v>
      </c>
      <c r="F83" s="4">
        <f t="shared" si="3"/>
        <v>3</v>
      </c>
      <c r="G83" s="4" t="e">
        <f t="shared" si="4"/>
        <v>#DIV/0!</v>
      </c>
      <c r="H83" s="4" t="e">
        <f t="shared" si="5"/>
        <v>#DIV/0!</v>
      </c>
      <c r="I83" s="4" t="e">
        <f t="shared" si="6"/>
        <v>#DIV/0!</v>
      </c>
      <c r="J83" s="4" t="e">
        <f t="shared" si="7"/>
        <v>#DIV/0!</v>
      </c>
      <c r="K83" s="4" t="e">
        <f t="shared" si="8"/>
        <v>#DIV/0!</v>
      </c>
      <c r="L83" s="14" t="e">
        <f t="shared" si="9"/>
        <v>#DIV/0!</v>
      </c>
      <c r="S83" s="72"/>
      <c r="T83" s="72"/>
      <c r="U83" s="41" t="s">
        <v>181</v>
      </c>
    </row>
    <row r="84" spans="1:21" x14ac:dyDescent="0.35">
      <c r="A84" s="4">
        <v>17</v>
      </c>
      <c r="B84" s="14" t="s">
        <v>172</v>
      </c>
      <c r="C84" s="4">
        <f t="shared" si="0"/>
        <v>2.2360679774997898</v>
      </c>
      <c r="D84" s="4">
        <f t="shared" si="1"/>
        <v>2.6457513110645907</v>
      </c>
      <c r="E84" s="4">
        <f t="shared" si="2"/>
        <v>3.3166247903553998</v>
      </c>
      <c r="F84" s="4">
        <f t="shared" si="3"/>
        <v>2.2360679774997898</v>
      </c>
      <c r="G84" s="4" t="e">
        <f t="shared" si="4"/>
        <v>#DIV/0!</v>
      </c>
      <c r="H84" s="4" t="e">
        <f t="shared" si="5"/>
        <v>#DIV/0!</v>
      </c>
      <c r="I84" s="4" t="e">
        <f t="shared" si="6"/>
        <v>#DIV/0!</v>
      </c>
      <c r="J84" s="4" t="e">
        <f t="shared" si="7"/>
        <v>#DIV/0!</v>
      </c>
      <c r="K84" s="4" t="e">
        <f t="shared" si="8"/>
        <v>#DIV/0!</v>
      </c>
      <c r="L84" s="14" t="e">
        <f t="shared" si="9"/>
        <v>#DIV/0!</v>
      </c>
      <c r="S84" s="72"/>
      <c r="T84" s="72"/>
      <c r="U84" s="41" t="s">
        <v>227</v>
      </c>
    </row>
    <row r="85" spans="1:21" x14ac:dyDescent="0.35">
      <c r="A85" s="4">
        <v>18</v>
      </c>
      <c r="B85" s="14" t="s">
        <v>175</v>
      </c>
      <c r="C85" s="4">
        <f t="shared" si="0"/>
        <v>3.4641016151377544</v>
      </c>
      <c r="D85" s="4">
        <f t="shared" si="1"/>
        <v>2.4494897427831779</v>
      </c>
      <c r="E85" s="4">
        <f t="shared" si="2"/>
        <v>2</v>
      </c>
      <c r="F85" s="4">
        <f t="shared" si="3"/>
        <v>3.1622776601683795</v>
      </c>
      <c r="G85" s="4" t="e">
        <f t="shared" si="4"/>
        <v>#DIV/0!</v>
      </c>
      <c r="H85" s="4" t="e">
        <f t="shared" si="5"/>
        <v>#DIV/0!</v>
      </c>
      <c r="I85" s="4" t="e">
        <f t="shared" si="6"/>
        <v>#DIV/0!</v>
      </c>
      <c r="J85" s="4" t="e">
        <f t="shared" si="7"/>
        <v>#DIV/0!</v>
      </c>
      <c r="K85" s="4" t="e">
        <f t="shared" si="8"/>
        <v>#DIV/0!</v>
      </c>
      <c r="L85" s="14" t="e">
        <f t="shared" si="9"/>
        <v>#DIV/0!</v>
      </c>
      <c r="S85" s="72"/>
      <c r="T85" s="72"/>
      <c r="U85" s="41" t="s">
        <v>253</v>
      </c>
    </row>
    <row r="86" spans="1:21" x14ac:dyDescent="0.35">
      <c r="A86" s="4">
        <v>19</v>
      </c>
      <c r="B86" s="14" t="s">
        <v>178</v>
      </c>
      <c r="C86" s="4">
        <f t="shared" si="0"/>
        <v>1</v>
      </c>
      <c r="D86" s="4">
        <f t="shared" si="1"/>
        <v>2.6457513110645907</v>
      </c>
      <c r="E86" s="4">
        <f t="shared" si="2"/>
        <v>3.6055512754639891</v>
      </c>
      <c r="F86" s="4">
        <f t="shared" si="3"/>
        <v>2.2360679774997898</v>
      </c>
      <c r="G86" s="4" t="e">
        <f t="shared" si="4"/>
        <v>#DIV/0!</v>
      </c>
      <c r="H86" s="4" t="e">
        <f t="shared" si="5"/>
        <v>#DIV/0!</v>
      </c>
      <c r="I86" s="4" t="e">
        <f t="shared" si="6"/>
        <v>#DIV/0!</v>
      </c>
      <c r="J86" s="4" t="e">
        <f t="shared" si="7"/>
        <v>#DIV/0!</v>
      </c>
      <c r="K86" s="4" t="e">
        <f t="shared" si="8"/>
        <v>#DIV/0!</v>
      </c>
      <c r="L86" s="14" t="e">
        <f t="shared" si="9"/>
        <v>#DIV/0!</v>
      </c>
      <c r="S86" s="72"/>
      <c r="T86" s="72"/>
      <c r="U86" s="41" t="s">
        <v>226</v>
      </c>
    </row>
    <row r="87" spans="1:21" x14ac:dyDescent="0.35">
      <c r="A87" s="4">
        <v>20</v>
      </c>
      <c r="B87" s="14" t="s">
        <v>181</v>
      </c>
      <c r="C87" s="4">
        <f t="shared" si="0"/>
        <v>2.4494897427831779</v>
      </c>
      <c r="D87" s="4">
        <f t="shared" si="1"/>
        <v>2.8284271247461903</v>
      </c>
      <c r="E87" s="4">
        <f t="shared" si="2"/>
        <v>3.1622776601683795</v>
      </c>
      <c r="F87" s="4">
        <f t="shared" si="3"/>
        <v>2.4494897427831779</v>
      </c>
      <c r="G87" s="4" t="e">
        <f t="shared" si="4"/>
        <v>#DIV/0!</v>
      </c>
      <c r="H87" s="4" t="e">
        <f t="shared" si="5"/>
        <v>#DIV/0!</v>
      </c>
      <c r="I87" s="4" t="e">
        <f t="shared" si="6"/>
        <v>#DIV/0!</v>
      </c>
      <c r="J87" s="4" t="e">
        <f t="shared" si="7"/>
        <v>#DIV/0!</v>
      </c>
      <c r="K87" s="4" t="e">
        <f t="shared" si="8"/>
        <v>#DIV/0!</v>
      </c>
      <c r="L87" s="14" t="e">
        <f t="shared" si="9"/>
        <v>#DIV/0!</v>
      </c>
      <c r="S87" s="103" t="s">
        <v>184</v>
      </c>
      <c r="T87" s="103">
        <v>4</v>
      </c>
      <c r="U87" s="41" t="s">
        <v>140</v>
      </c>
    </row>
    <row r="88" spans="1:21" x14ac:dyDescent="0.35">
      <c r="A88" s="4">
        <v>21</v>
      </c>
      <c r="B88" s="14" t="s">
        <v>227</v>
      </c>
      <c r="C88" s="4">
        <f t="shared" si="0"/>
        <v>3.4641016151377544</v>
      </c>
      <c r="D88" s="4">
        <f t="shared" si="1"/>
        <v>4.2426406871192848</v>
      </c>
      <c r="E88" s="4">
        <f t="shared" si="2"/>
        <v>4.8989794855663558</v>
      </c>
      <c r="F88" s="4">
        <f t="shared" si="3"/>
        <v>4</v>
      </c>
      <c r="G88" s="4" t="e">
        <f t="shared" si="4"/>
        <v>#DIV/0!</v>
      </c>
      <c r="H88" s="4" t="e">
        <f t="shared" si="5"/>
        <v>#DIV/0!</v>
      </c>
      <c r="I88" s="4" t="e">
        <f t="shared" si="6"/>
        <v>#DIV/0!</v>
      </c>
      <c r="J88" s="4" t="e">
        <f t="shared" si="7"/>
        <v>#DIV/0!</v>
      </c>
      <c r="K88" s="4" t="e">
        <f t="shared" si="8"/>
        <v>#DIV/0!</v>
      </c>
      <c r="L88" s="14" t="e">
        <f t="shared" si="9"/>
        <v>#DIV/0!</v>
      </c>
      <c r="S88" s="104"/>
      <c r="T88" s="104"/>
      <c r="U88" s="41" t="s">
        <v>149</v>
      </c>
    </row>
    <row r="89" spans="1:21" x14ac:dyDescent="0.35">
      <c r="A89" s="4">
        <v>22</v>
      </c>
      <c r="B89" s="14" t="s">
        <v>224</v>
      </c>
      <c r="C89" s="4">
        <f t="shared" si="0"/>
        <v>2.2360679774997898</v>
      </c>
      <c r="D89" s="4">
        <f t="shared" si="1"/>
        <v>2.6457513110645907</v>
      </c>
      <c r="E89" s="4">
        <f t="shared" si="2"/>
        <v>3.872983346207417</v>
      </c>
      <c r="F89" s="4">
        <f t="shared" si="3"/>
        <v>2.6457513110645907</v>
      </c>
      <c r="G89" s="4" t="e">
        <f t="shared" si="4"/>
        <v>#DIV/0!</v>
      </c>
      <c r="H89" s="4" t="e">
        <f t="shared" si="5"/>
        <v>#DIV/0!</v>
      </c>
      <c r="I89" s="4" t="e">
        <f t="shared" si="6"/>
        <v>#DIV/0!</v>
      </c>
      <c r="J89" s="4" t="e">
        <f t="shared" si="7"/>
        <v>#DIV/0!</v>
      </c>
      <c r="K89" s="4" t="e">
        <f t="shared" si="8"/>
        <v>#DIV/0!</v>
      </c>
      <c r="L89" s="14" t="e">
        <f t="shared" si="9"/>
        <v>#DIV/0!</v>
      </c>
      <c r="S89" s="104"/>
      <c r="T89" s="104"/>
      <c r="U89" s="41" t="s">
        <v>160</v>
      </c>
    </row>
    <row r="90" spans="1:21" x14ac:dyDescent="0.35">
      <c r="A90" s="4">
        <v>23</v>
      </c>
      <c r="B90" s="14" t="s">
        <v>248</v>
      </c>
      <c r="C90" s="4">
        <f t="shared" si="0"/>
        <v>4.5825756949558398</v>
      </c>
      <c r="D90" s="4">
        <f t="shared" si="1"/>
        <v>4.5825756949558398</v>
      </c>
      <c r="E90" s="4">
        <f t="shared" si="2"/>
        <v>5</v>
      </c>
      <c r="F90" s="4">
        <f t="shared" si="3"/>
        <v>4.358898943540674</v>
      </c>
      <c r="G90" s="4" t="e">
        <f t="shared" si="4"/>
        <v>#DIV/0!</v>
      </c>
      <c r="H90" s="4" t="e">
        <f t="shared" si="5"/>
        <v>#DIV/0!</v>
      </c>
      <c r="I90" s="4" t="e">
        <f t="shared" si="6"/>
        <v>#DIV/0!</v>
      </c>
      <c r="J90" s="4" t="e">
        <f t="shared" si="7"/>
        <v>#DIV/0!</v>
      </c>
      <c r="K90" s="4" t="e">
        <f t="shared" si="8"/>
        <v>#DIV/0!</v>
      </c>
      <c r="L90" s="14" t="e">
        <f>J90^2</f>
        <v>#DIV/0!</v>
      </c>
      <c r="S90" s="105"/>
      <c r="T90" s="105"/>
      <c r="U90" s="41" t="s">
        <v>163</v>
      </c>
    </row>
    <row r="91" spans="1:21" x14ac:dyDescent="0.35">
      <c r="A91" s="4">
        <v>24</v>
      </c>
      <c r="B91" s="14" t="s">
        <v>226</v>
      </c>
      <c r="C91" s="4">
        <f t="shared" si="0"/>
        <v>3.1622776601683795</v>
      </c>
      <c r="D91" s="4">
        <f t="shared" si="1"/>
        <v>3.4641016151377544</v>
      </c>
      <c r="E91" s="4">
        <f t="shared" si="2"/>
        <v>3.7416573867739413</v>
      </c>
      <c r="F91" s="4">
        <f t="shared" si="3"/>
        <v>2.8284271247461903</v>
      </c>
      <c r="G91" s="4" t="e">
        <f t="shared" si="4"/>
        <v>#DIV/0!</v>
      </c>
      <c r="H91" s="4" t="e">
        <f t="shared" si="5"/>
        <v>#DIV/0!</v>
      </c>
      <c r="I91" s="4" t="e">
        <f t="shared" si="6"/>
        <v>#DIV/0!</v>
      </c>
      <c r="J91" s="4" t="e">
        <f t="shared" si="7"/>
        <v>#DIV/0!</v>
      </c>
      <c r="K91" s="4" t="e">
        <f t="shared" si="8"/>
        <v>#DIV/0!</v>
      </c>
      <c r="L91" s="14" t="e">
        <f t="shared" ref="L91:L92" si="10">J91^2</f>
        <v>#DIV/0!</v>
      </c>
      <c r="S91" s="4" t="s">
        <v>185</v>
      </c>
      <c r="T91" s="4">
        <v>1</v>
      </c>
      <c r="U91" s="4" t="s">
        <v>143</v>
      </c>
    </row>
    <row r="92" spans="1:21" x14ac:dyDescent="0.35">
      <c r="A92" s="4">
        <v>25</v>
      </c>
      <c r="B92" s="14" t="s">
        <v>225</v>
      </c>
      <c r="C92" s="4">
        <f t="shared" si="0"/>
        <v>2.6457513110645907</v>
      </c>
      <c r="D92" s="4">
        <f t="shared" si="1"/>
        <v>1</v>
      </c>
      <c r="E92" s="4">
        <f t="shared" si="2"/>
        <v>2.6457513110645907</v>
      </c>
      <c r="F92" s="4">
        <f t="shared" si="3"/>
        <v>2.2360679774997898</v>
      </c>
      <c r="G92" s="4" t="e">
        <f t="shared" si="4"/>
        <v>#DIV/0!</v>
      </c>
      <c r="H92" s="4" t="e">
        <f t="shared" si="5"/>
        <v>#DIV/0!</v>
      </c>
      <c r="I92" s="4" t="e">
        <f t="shared" si="6"/>
        <v>#DIV/0!</v>
      </c>
      <c r="J92" s="4" t="e">
        <f t="shared" si="7"/>
        <v>#DIV/0!</v>
      </c>
      <c r="K92" s="4" t="e">
        <f t="shared" si="8"/>
        <v>#DIV/0!</v>
      </c>
      <c r="L92" s="14" t="e">
        <f t="shared" si="10"/>
        <v>#DIV/0!</v>
      </c>
    </row>
    <row r="95" spans="1:21" x14ac:dyDescent="0.35">
      <c r="A95" s="70" t="s">
        <v>94</v>
      </c>
      <c r="B95" s="70"/>
      <c r="C95" s="70"/>
      <c r="D95" s="70"/>
      <c r="E95" s="70"/>
      <c r="F95" s="70"/>
      <c r="G95" s="70"/>
      <c r="H95" s="70"/>
      <c r="I95" s="70"/>
      <c r="J95" s="70"/>
      <c r="K95" s="70"/>
      <c r="L95" s="70"/>
      <c r="M95" s="70"/>
      <c r="N95" s="70"/>
      <c r="O95" s="70"/>
      <c r="P95" s="70"/>
      <c r="Q95" s="70"/>
      <c r="R95" s="70"/>
    </row>
    <row r="96" spans="1:21" x14ac:dyDescent="0.35">
      <c r="A96" s="45" t="s">
        <v>87</v>
      </c>
      <c r="B96" s="45" t="s">
        <v>110</v>
      </c>
      <c r="C96" s="45" t="s">
        <v>111</v>
      </c>
      <c r="D96" s="45" t="s">
        <v>112</v>
      </c>
      <c r="E96" s="45" t="s">
        <v>113</v>
      </c>
      <c r="F96" s="45" t="s">
        <v>114</v>
      </c>
      <c r="G96" s="45" t="s">
        <v>115</v>
      </c>
      <c r="H96" s="45" t="s">
        <v>116</v>
      </c>
      <c r="I96" s="45" t="s">
        <v>117</v>
      </c>
      <c r="J96" s="45" t="s">
        <v>118</v>
      </c>
      <c r="K96" s="45" t="s">
        <v>119</v>
      </c>
      <c r="L96" s="45" t="s">
        <v>120</v>
      </c>
      <c r="M96" s="45" t="s">
        <v>121</v>
      </c>
      <c r="N96" s="45" t="s">
        <v>122</v>
      </c>
      <c r="O96" s="45" t="s">
        <v>124</v>
      </c>
      <c r="P96" s="45" t="s">
        <v>125</v>
      </c>
      <c r="Q96" s="45" t="s">
        <v>126</v>
      </c>
      <c r="R96" s="45" t="s">
        <v>127</v>
      </c>
    </row>
    <row r="97" spans="1:20" x14ac:dyDescent="0.35">
      <c r="A97" s="14" t="s">
        <v>49</v>
      </c>
      <c r="B97" s="14" t="e">
        <f>AVERAGEIFS(B$30:B$54,$K$68:$K$92, "C1")</f>
        <v>#DIV/0!</v>
      </c>
      <c r="C97" s="14" t="e">
        <f t="shared" ref="C97:R97" si="11">AVERAGEIFS(C$30:C$54,$K$68:$K$92, "C1")</f>
        <v>#DIV/0!</v>
      </c>
      <c r="D97" s="14" t="e">
        <f t="shared" si="11"/>
        <v>#DIV/0!</v>
      </c>
      <c r="E97" s="14" t="e">
        <f t="shared" si="11"/>
        <v>#DIV/0!</v>
      </c>
      <c r="F97" s="14" t="e">
        <f t="shared" si="11"/>
        <v>#DIV/0!</v>
      </c>
      <c r="G97" s="14" t="e">
        <f t="shared" si="11"/>
        <v>#DIV/0!</v>
      </c>
      <c r="H97" s="14" t="e">
        <f t="shared" si="11"/>
        <v>#DIV/0!</v>
      </c>
      <c r="I97" s="14" t="e">
        <f t="shared" si="11"/>
        <v>#DIV/0!</v>
      </c>
      <c r="J97" s="14" t="e">
        <f t="shared" si="11"/>
        <v>#DIV/0!</v>
      </c>
      <c r="K97" s="14" t="e">
        <f t="shared" si="11"/>
        <v>#DIV/0!</v>
      </c>
      <c r="L97" s="14" t="e">
        <f t="shared" si="11"/>
        <v>#DIV/0!</v>
      </c>
      <c r="M97" s="14" t="e">
        <f t="shared" si="11"/>
        <v>#DIV/0!</v>
      </c>
      <c r="N97" s="14" t="e">
        <f t="shared" si="11"/>
        <v>#DIV/0!</v>
      </c>
      <c r="O97" s="14" t="e">
        <f t="shared" si="11"/>
        <v>#DIV/0!</v>
      </c>
      <c r="P97" s="14" t="e">
        <f t="shared" si="11"/>
        <v>#DIV/0!</v>
      </c>
      <c r="Q97" s="14" t="e">
        <f t="shared" si="11"/>
        <v>#DIV/0!</v>
      </c>
      <c r="R97" s="14" t="e">
        <f t="shared" si="11"/>
        <v>#DIV/0!</v>
      </c>
    </row>
    <row r="98" spans="1:20" x14ac:dyDescent="0.35">
      <c r="A98" s="14" t="s">
        <v>53</v>
      </c>
      <c r="B98" s="14" t="e">
        <f>AVERAGEIFS(B$30:B$54,$K$68:$K$92, "C2")</f>
        <v>#DIV/0!</v>
      </c>
      <c r="C98" s="14" t="e">
        <f t="shared" ref="C98:R98" si="12">AVERAGEIFS(C$30:C$54,$K$68:$K$92, "C2")</f>
        <v>#DIV/0!</v>
      </c>
      <c r="D98" s="14" t="e">
        <f t="shared" si="12"/>
        <v>#DIV/0!</v>
      </c>
      <c r="E98" s="14" t="e">
        <f t="shared" si="12"/>
        <v>#DIV/0!</v>
      </c>
      <c r="F98" s="14" t="e">
        <f t="shared" si="12"/>
        <v>#DIV/0!</v>
      </c>
      <c r="G98" s="14" t="e">
        <f t="shared" si="12"/>
        <v>#DIV/0!</v>
      </c>
      <c r="H98" s="14" t="e">
        <f t="shared" si="12"/>
        <v>#DIV/0!</v>
      </c>
      <c r="I98" s="14" t="e">
        <f t="shared" si="12"/>
        <v>#DIV/0!</v>
      </c>
      <c r="J98" s="14" t="e">
        <f t="shared" si="12"/>
        <v>#DIV/0!</v>
      </c>
      <c r="K98" s="14" t="e">
        <f t="shared" si="12"/>
        <v>#DIV/0!</v>
      </c>
      <c r="L98" s="14" t="e">
        <f t="shared" si="12"/>
        <v>#DIV/0!</v>
      </c>
      <c r="M98" s="14" t="e">
        <f t="shared" si="12"/>
        <v>#DIV/0!</v>
      </c>
      <c r="N98" s="14" t="e">
        <f t="shared" si="12"/>
        <v>#DIV/0!</v>
      </c>
      <c r="O98" s="14" t="e">
        <f t="shared" si="12"/>
        <v>#DIV/0!</v>
      </c>
      <c r="P98" s="14" t="e">
        <f t="shared" si="12"/>
        <v>#DIV/0!</v>
      </c>
      <c r="Q98" s="14" t="e">
        <f t="shared" si="12"/>
        <v>#DIV/0!</v>
      </c>
      <c r="R98" s="14" t="e">
        <f t="shared" si="12"/>
        <v>#DIV/0!</v>
      </c>
    </row>
    <row r="99" spans="1:20" x14ac:dyDescent="0.35">
      <c r="A99" s="14" t="s">
        <v>58</v>
      </c>
      <c r="B99" s="14" t="e">
        <f>AVERAGEIFS(B$30:B$54,$K$68:$K$92, "C3")</f>
        <v>#DIV/0!</v>
      </c>
      <c r="C99" s="14" t="e">
        <f t="shared" ref="C99:R99" si="13">AVERAGEIFS(C$30:C$54,$K$68:$K$92, "C3")</f>
        <v>#DIV/0!</v>
      </c>
      <c r="D99" s="14" t="e">
        <f t="shared" si="13"/>
        <v>#DIV/0!</v>
      </c>
      <c r="E99" s="14" t="e">
        <f t="shared" si="13"/>
        <v>#DIV/0!</v>
      </c>
      <c r="F99" s="14" t="e">
        <f t="shared" si="13"/>
        <v>#DIV/0!</v>
      </c>
      <c r="G99" s="14" t="e">
        <f t="shared" si="13"/>
        <v>#DIV/0!</v>
      </c>
      <c r="H99" s="14" t="e">
        <f t="shared" si="13"/>
        <v>#DIV/0!</v>
      </c>
      <c r="I99" s="14" t="e">
        <f t="shared" si="13"/>
        <v>#DIV/0!</v>
      </c>
      <c r="J99" s="14" t="e">
        <f t="shared" si="13"/>
        <v>#DIV/0!</v>
      </c>
      <c r="K99" s="14" t="e">
        <f t="shared" si="13"/>
        <v>#DIV/0!</v>
      </c>
      <c r="L99" s="14" t="e">
        <f t="shared" si="13"/>
        <v>#DIV/0!</v>
      </c>
      <c r="M99" s="14" t="e">
        <f t="shared" si="13"/>
        <v>#DIV/0!</v>
      </c>
      <c r="N99" s="14" t="e">
        <f t="shared" si="13"/>
        <v>#DIV/0!</v>
      </c>
      <c r="O99" s="14" t="e">
        <f t="shared" si="13"/>
        <v>#DIV/0!</v>
      </c>
      <c r="P99" s="14" t="e">
        <f t="shared" si="13"/>
        <v>#DIV/0!</v>
      </c>
      <c r="Q99" s="14" t="e">
        <f t="shared" si="13"/>
        <v>#DIV/0!</v>
      </c>
      <c r="R99" s="14" t="e">
        <f t="shared" si="13"/>
        <v>#DIV/0!</v>
      </c>
    </row>
    <row r="100" spans="1:20" x14ac:dyDescent="0.35">
      <c r="A100" s="14" t="s">
        <v>59</v>
      </c>
      <c r="B100" s="14" t="e">
        <f>AVERAGEIFS(B$30:B$54,$K$68:$K$92, "C4")</f>
        <v>#DIV/0!</v>
      </c>
      <c r="C100" s="14" t="e">
        <f t="shared" ref="C100:R100" si="14">AVERAGEIFS(C$30:C$54,$K$68:$K$92, "C4")</f>
        <v>#DIV/0!</v>
      </c>
      <c r="D100" s="14" t="e">
        <f t="shared" si="14"/>
        <v>#DIV/0!</v>
      </c>
      <c r="E100" s="14" t="e">
        <f t="shared" si="14"/>
        <v>#DIV/0!</v>
      </c>
      <c r="F100" s="14" t="e">
        <f t="shared" si="14"/>
        <v>#DIV/0!</v>
      </c>
      <c r="G100" s="14" t="e">
        <f t="shared" si="14"/>
        <v>#DIV/0!</v>
      </c>
      <c r="H100" s="14" t="e">
        <f t="shared" si="14"/>
        <v>#DIV/0!</v>
      </c>
      <c r="I100" s="14" t="e">
        <f t="shared" si="14"/>
        <v>#DIV/0!</v>
      </c>
      <c r="J100" s="14" t="e">
        <f t="shared" si="14"/>
        <v>#DIV/0!</v>
      </c>
      <c r="K100" s="14" t="e">
        <f t="shared" si="14"/>
        <v>#DIV/0!</v>
      </c>
      <c r="L100" s="14" t="e">
        <f t="shared" si="14"/>
        <v>#DIV/0!</v>
      </c>
      <c r="M100" s="14" t="e">
        <f t="shared" si="14"/>
        <v>#DIV/0!</v>
      </c>
      <c r="N100" s="14" t="e">
        <f t="shared" si="14"/>
        <v>#DIV/0!</v>
      </c>
      <c r="O100" s="14" t="e">
        <f t="shared" si="14"/>
        <v>#DIV/0!</v>
      </c>
      <c r="P100" s="14" t="e">
        <f t="shared" si="14"/>
        <v>#DIV/0!</v>
      </c>
      <c r="Q100" s="14" t="e">
        <f t="shared" si="14"/>
        <v>#DIV/0!</v>
      </c>
      <c r="R100" s="14" t="e">
        <f t="shared" si="14"/>
        <v>#DIV/0!</v>
      </c>
    </row>
    <row r="106" spans="1:20" x14ac:dyDescent="0.35">
      <c r="A106" s="70" t="s">
        <v>252</v>
      </c>
      <c r="B106" s="70"/>
      <c r="C106" s="70"/>
      <c r="D106" s="70"/>
      <c r="E106" s="70"/>
      <c r="F106" s="70"/>
      <c r="G106" s="70"/>
      <c r="H106" s="70"/>
      <c r="I106" s="70"/>
      <c r="J106" s="70"/>
      <c r="K106" s="70"/>
      <c r="L106" s="70"/>
      <c r="M106" s="70"/>
      <c r="R106" s="42" t="s">
        <v>186</v>
      </c>
      <c r="S106" s="42" t="s">
        <v>187</v>
      </c>
      <c r="T106" s="42" t="s">
        <v>188</v>
      </c>
    </row>
    <row r="107" spans="1:20" x14ac:dyDescent="0.35">
      <c r="A107" s="43" t="s">
        <v>236</v>
      </c>
      <c r="B107" s="45" t="s">
        <v>106</v>
      </c>
      <c r="C107" s="45" t="s">
        <v>49</v>
      </c>
      <c r="D107" s="45" t="s">
        <v>53</v>
      </c>
      <c r="E107" s="45" t="s">
        <v>58</v>
      </c>
      <c r="F107" s="45" t="s">
        <v>59</v>
      </c>
      <c r="G107" s="45" t="s">
        <v>88</v>
      </c>
      <c r="H107" s="45" t="s">
        <v>184</v>
      </c>
      <c r="I107" s="45" t="s">
        <v>185</v>
      </c>
      <c r="J107" s="42" t="s">
        <v>86</v>
      </c>
      <c r="K107" s="42" t="s">
        <v>87</v>
      </c>
      <c r="L107" s="42" t="s">
        <v>104</v>
      </c>
      <c r="M107" s="42" t="s">
        <v>191</v>
      </c>
      <c r="R107" s="72" t="s">
        <v>49</v>
      </c>
      <c r="S107" s="72">
        <v>7</v>
      </c>
      <c r="T107" s="4" t="s">
        <v>130</v>
      </c>
    </row>
    <row r="108" spans="1:20" x14ac:dyDescent="0.35">
      <c r="A108" s="4">
        <v>1</v>
      </c>
      <c r="B108" s="14" t="s">
        <v>130</v>
      </c>
      <c r="C108" s="4" t="e">
        <f t="shared" ref="C108:C118" si="15">SQRT(SUMXMY2(B30:R30, $B$97:$R$97))</f>
        <v>#DIV/0!</v>
      </c>
      <c r="D108" s="4" t="e">
        <f t="shared" ref="D108:D118" si="16">SQRT(SUMXMY2(B30:R30, $B$98:$R$98))</f>
        <v>#DIV/0!</v>
      </c>
      <c r="E108" s="4" t="e">
        <f t="shared" ref="E108:E118" si="17">SQRT(SUMXMY2(B30:R30, $B$99:$R$99))</f>
        <v>#DIV/0!</v>
      </c>
      <c r="F108" s="4" t="e">
        <f t="shared" ref="F108:F118" si="18">SQRT(SUMXMY2(B30:R30, $B$100:$R$100))</f>
        <v>#DIV/0!</v>
      </c>
      <c r="G108" s="4" t="e">
        <f t="shared" ref="G108:G118" si="19">SQRT(SUMXMY2(B30:R30, $B$101:$R$101))</f>
        <v>#DIV/0!</v>
      </c>
      <c r="H108" s="4" t="e">
        <f t="shared" ref="H108:H118" si="20">SQRT(SUMXMY2(B30:R30, $B$102:$R$102))</f>
        <v>#DIV/0!</v>
      </c>
      <c r="I108" s="4" t="e">
        <f t="shared" ref="I108:I118" si="21">SQRT(SUMXMY2(B30:R30, $B$103:$R$103))</f>
        <v>#DIV/0!</v>
      </c>
      <c r="J108" s="4" t="e">
        <f>MIN(C108:I108)</f>
        <v>#DIV/0!</v>
      </c>
      <c r="K108" s="4" t="e">
        <f>"C"&amp;MATCH(J108,C108:I108,0)</f>
        <v>#DIV/0!</v>
      </c>
      <c r="L108" s="14" t="e">
        <f>J108^2</f>
        <v>#DIV/0!</v>
      </c>
      <c r="M108" s="14" t="e">
        <f>SUM(L108:L131)</f>
        <v>#DIV/0!</v>
      </c>
      <c r="R108" s="72"/>
      <c r="S108" s="72"/>
      <c r="T108" s="4" t="s">
        <v>157</v>
      </c>
    </row>
    <row r="109" spans="1:20" x14ac:dyDescent="0.35">
      <c r="A109" s="4">
        <v>2</v>
      </c>
      <c r="B109" s="14" t="s">
        <v>134</v>
      </c>
      <c r="C109" s="4" t="e">
        <f t="shared" si="15"/>
        <v>#DIV/0!</v>
      </c>
      <c r="D109" s="4" t="e">
        <f t="shared" si="16"/>
        <v>#DIV/0!</v>
      </c>
      <c r="E109" s="4" t="e">
        <f t="shared" si="17"/>
        <v>#DIV/0!</v>
      </c>
      <c r="F109" s="4" t="e">
        <f t="shared" si="18"/>
        <v>#DIV/0!</v>
      </c>
      <c r="G109" s="4" t="e">
        <f t="shared" si="19"/>
        <v>#DIV/0!</v>
      </c>
      <c r="H109" s="4" t="e">
        <f t="shared" si="20"/>
        <v>#DIV/0!</v>
      </c>
      <c r="I109" s="4" t="e">
        <f t="shared" si="21"/>
        <v>#DIV/0!</v>
      </c>
      <c r="J109" s="4" t="e">
        <f t="shared" ref="J109:J131" si="22">MIN(C109:I109)</f>
        <v>#DIV/0!</v>
      </c>
      <c r="K109" s="4" t="e">
        <f t="shared" ref="K109:K131" si="23">"C"&amp;MATCH(J109,C109:I109,0)</f>
        <v>#DIV/0!</v>
      </c>
      <c r="L109" s="14" t="e">
        <f t="shared" ref="L109:L128" si="24">J109^2</f>
        <v>#DIV/0!</v>
      </c>
      <c r="R109" s="72"/>
      <c r="S109" s="72"/>
      <c r="T109" s="4" t="s">
        <v>172</v>
      </c>
    </row>
    <row r="110" spans="1:20" x14ac:dyDescent="0.35">
      <c r="A110" s="4">
        <v>3</v>
      </c>
      <c r="B110" s="14" t="s">
        <v>241</v>
      </c>
      <c r="C110" s="4" t="e">
        <f t="shared" si="15"/>
        <v>#DIV/0!</v>
      </c>
      <c r="D110" s="4" t="e">
        <f t="shared" si="16"/>
        <v>#DIV/0!</v>
      </c>
      <c r="E110" s="4" t="e">
        <f t="shared" si="17"/>
        <v>#DIV/0!</v>
      </c>
      <c r="F110" s="4" t="e">
        <f t="shared" si="18"/>
        <v>#DIV/0!</v>
      </c>
      <c r="G110" s="4" t="e">
        <f t="shared" si="19"/>
        <v>#DIV/0!</v>
      </c>
      <c r="H110" s="4" t="e">
        <f t="shared" si="20"/>
        <v>#DIV/0!</v>
      </c>
      <c r="I110" s="4" t="e">
        <f t="shared" si="21"/>
        <v>#DIV/0!</v>
      </c>
      <c r="J110" s="4" t="e">
        <f t="shared" si="22"/>
        <v>#DIV/0!</v>
      </c>
      <c r="K110" s="4" t="e">
        <f t="shared" si="23"/>
        <v>#DIV/0!</v>
      </c>
      <c r="L110" s="14" t="e">
        <f t="shared" si="24"/>
        <v>#DIV/0!</v>
      </c>
      <c r="R110" s="72"/>
      <c r="S110" s="72"/>
      <c r="T110" s="4" t="s">
        <v>178</v>
      </c>
    </row>
    <row r="111" spans="1:20" x14ac:dyDescent="0.35">
      <c r="A111" s="4">
        <v>4</v>
      </c>
      <c r="B111" s="14" t="s">
        <v>244</v>
      </c>
      <c r="C111" s="4" t="e">
        <f t="shared" si="15"/>
        <v>#DIV/0!</v>
      </c>
      <c r="D111" s="4" t="e">
        <f t="shared" si="16"/>
        <v>#DIV/0!</v>
      </c>
      <c r="E111" s="4" t="e">
        <f t="shared" si="17"/>
        <v>#DIV/0!</v>
      </c>
      <c r="F111" s="4" t="e">
        <f t="shared" si="18"/>
        <v>#DIV/0!</v>
      </c>
      <c r="G111" s="4" t="e">
        <f t="shared" si="19"/>
        <v>#DIV/0!</v>
      </c>
      <c r="H111" s="4" t="e">
        <f t="shared" si="20"/>
        <v>#DIV/0!</v>
      </c>
      <c r="I111" s="4" t="e">
        <f t="shared" si="21"/>
        <v>#DIV/0!</v>
      </c>
      <c r="J111" s="4" t="e">
        <f t="shared" si="22"/>
        <v>#DIV/0!</v>
      </c>
      <c r="K111" s="4" t="e">
        <f t="shared" si="23"/>
        <v>#DIV/0!</v>
      </c>
      <c r="L111" s="14" t="e">
        <f t="shared" si="24"/>
        <v>#DIV/0!</v>
      </c>
      <c r="R111" s="72"/>
      <c r="S111" s="72"/>
      <c r="T111" s="4" t="s">
        <v>224</v>
      </c>
    </row>
    <row r="112" spans="1:20" x14ac:dyDescent="0.35">
      <c r="A112" s="4">
        <v>5</v>
      </c>
      <c r="B112" s="14" t="s">
        <v>137</v>
      </c>
      <c r="C112" s="4" t="e">
        <f t="shared" si="15"/>
        <v>#DIV/0!</v>
      </c>
      <c r="D112" s="4" t="e">
        <f t="shared" si="16"/>
        <v>#DIV/0!</v>
      </c>
      <c r="E112" s="4" t="e">
        <f t="shared" si="17"/>
        <v>#DIV/0!</v>
      </c>
      <c r="F112" s="4" t="e">
        <f t="shared" si="18"/>
        <v>#DIV/0!</v>
      </c>
      <c r="G112" s="4" t="e">
        <f t="shared" si="19"/>
        <v>#DIV/0!</v>
      </c>
      <c r="H112" s="4" t="e">
        <f t="shared" si="20"/>
        <v>#DIV/0!</v>
      </c>
      <c r="I112" s="4" t="e">
        <f t="shared" si="21"/>
        <v>#DIV/0!</v>
      </c>
      <c r="J112" s="4" t="e">
        <f t="shared" si="22"/>
        <v>#DIV/0!</v>
      </c>
      <c r="K112" s="4" t="e">
        <f t="shared" si="23"/>
        <v>#DIV/0!</v>
      </c>
      <c r="L112" s="14" t="e">
        <f t="shared" si="24"/>
        <v>#DIV/0!</v>
      </c>
      <c r="R112" s="72"/>
      <c r="S112" s="72"/>
      <c r="T112" s="41" t="s">
        <v>169</v>
      </c>
    </row>
    <row r="113" spans="1:20" x14ac:dyDescent="0.35">
      <c r="A113" s="4">
        <v>6</v>
      </c>
      <c r="B113" s="14" t="s">
        <v>140</v>
      </c>
      <c r="C113" s="4" t="e">
        <f t="shared" si="15"/>
        <v>#DIV/0!</v>
      </c>
      <c r="D113" s="4" t="e">
        <f t="shared" si="16"/>
        <v>#DIV/0!</v>
      </c>
      <c r="E113" s="4" t="e">
        <f t="shared" si="17"/>
        <v>#DIV/0!</v>
      </c>
      <c r="F113" s="4" t="e">
        <f t="shared" si="18"/>
        <v>#DIV/0!</v>
      </c>
      <c r="G113" s="4" t="e">
        <f t="shared" si="19"/>
        <v>#DIV/0!</v>
      </c>
      <c r="H113" s="4" t="e">
        <f t="shared" si="20"/>
        <v>#DIV/0!</v>
      </c>
      <c r="I113" s="4" t="e">
        <f t="shared" si="21"/>
        <v>#DIV/0!</v>
      </c>
      <c r="J113" s="4" t="e">
        <f t="shared" si="22"/>
        <v>#DIV/0!</v>
      </c>
      <c r="K113" s="4" t="e">
        <f t="shared" si="23"/>
        <v>#DIV/0!</v>
      </c>
      <c r="L113" s="14" t="e">
        <f t="shared" si="24"/>
        <v>#DIV/0!</v>
      </c>
      <c r="R113" s="72"/>
      <c r="S113" s="72"/>
      <c r="T113" s="4" t="s">
        <v>151</v>
      </c>
    </row>
    <row r="114" spans="1:20" x14ac:dyDescent="0.35">
      <c r="A114" s="4">
        <v>7</v>
      </c>
      <c r="B114" s="14" t="s">
        <v>143</v>
      </c>
      <c r="C114" s="4" t="e">
        <f t="shared" si="15"/>
        <v>#DIV/0!</v>
      </c>
      <c r="D114" s="4" t="e">
        <f t="shared" si="16"/>
        <v>#DIV/0!</v>
      </c>
      <c r="E114" s="4" t="e">
        <f t="shared" si="17"/>
        <v>#DIV/0!</v>
      </c>
      <c r="F114" s="4" t="e">
        <f t="shared" si="18"/>
        <v>#DIV/0!</v>
      </c>
      <c r="G114" s="4" t="e">
        <f t="shared" si="19"/>
        <v>#DIV/0!</v>
      </c>
      <c r="H114" s="4" t="e">
        <f t="shared" si="20"/>
        <v>#DIV/0!</v>
      </c>
      <c r="I114" s="4" t="e">
        <f t="shared" si="21"/>
        <v>#DIV/0!</v>
      </c>
      <c r="J114" s="4" t="e">
        <f t="shared" si="22"/>
        <v>#DIV/0!</v>
      </c>
      <c r="K114" s="4" t="e">
        <f t="shared" si="23"/>
        <v>#DIV/0!</v>
      </c>
      <c r="L114" s="14" t="e">
        <f t="shared" si="24"/>
        <v>#DIV/0!</v>
      </c>
      <c r="R114" s="72" t="s">
        <v>53</v>
      </c>
      <c r="S114" s="72">
        <v>2</v>
      </c>
      <c r="T114" s="41" t="s">
        <v>134</v>
      </c>
    </row>
    <row r="115" spans="1:20" x14ac:dyDescent="0.35">
      <c r="A115" s="4">
        <v>8</v>
      </c>
      <c r="B115" s="14" t="s">
        <v>146</v>
      </c>
      <c r="C115" s="4" t="e">
        <f t="shared" si="15"/>
        <v>#DIV/0!</v>
      </c>
      <c r="D115" s="4" t="e">
        <f t="shared" si="16"/>
        <v>#DIV/0!</v>
      </c>
      <c r="E115" s="4" t="e">
        <f t="shared" si="17"/>
        <v>#DIV/0!</v>
      </c>
      <c r="F115" s="4" t="e">
        <f t="shared" si="18"/>
        <v>#DIV/0!</v>
      </c>
      <c r="G115" s="4" t="e">
        <f t="shared" si="19"/>
        <v>#DIV/0!</v>
      </c>
      <c r="H115" s="4" t="e">
        <f t="shared" si="20"/>
        <v>#DIV/0!</v>
      </c>
      <c r="I115" s="4" t="e">
        <f t="shared" si="21"/>
        <v>#DIV/0!</v>
      </c>
      <c r="J115" s="4" t="e">
        <f t="shared" si="22"/>
        <v>#DIV/0!</v>
      </c>
      <c r="K115" s="4" t="e">
        <f t="shared" si="23"/>
        <v>#DIV/0!</v>
      </c>
      <c r="L115" s="14" t="e">
        <f t="shared" si="24"/>
        <v>#DIV/0!</v>
      </c>
      <c r="R115" s="72"/>
      <c r="S115" s="72"/>
      <c r="T115" s="41" t="s">
        <v>225</v>
      </c>
    </row>
    <row r="116" spans="1:20" x14ac:dyDescent="0.35">
      <c r="A116" s="4">
        <v>9</v>
      </c>
      <c r="B116" s="14" t="s">
        <v>149</v>
      </c>
      <c r="C116" s="4" t="e">
        <f t="shared" si="15"/>
        <v>#DIV/0!</v>
      </c>
      <c r="D116" s="4" t="e">
        <f t="shared" si="16"/>
        <v>#DIV/0!</v>
      </c>
      <c r="E116" s="4" t="e">
        <f t="shared" si="17"/>
        <v>#DIV/0!</v>
      </c>
      <c r="F116" s="4" t="e">
        <f t="shared" si="18"/>
        <v>#DIV/0!</v>
      </c>
      <c r="G116" s="4" t="e">
        <f t="shared" si="19"/>
        <v>#DIV/0!</v>
      </c>
      <c r="H116" s="4" t="e">
        <f t="shared" si="20"/>
        <v>#DIV/0!</v>
      </c>
      <c r="I116" s="4" t="e">
        <f t="shared" si="21"/>
        <v>#DIV/0!</v>
      </c>
      <c r="J116" s="4" t="e">
        <f t="shared" si="22"/>
        <v>#DIV/0!</v>
      </c>
      <c r="K116" s="4" t="e">
        <f t="shared" si="23"/>
        <v>#DIV/0!</v>
      </c>
      <c r="L116" s="14" t="e">
        <f t="shared" si="24"/>
        <v>#DIV/0!</v>
      </c>
      <c r="R116" s="72" t="s">
        <v>58</v>
      </c>
      <c r="S116" s="72">
        <v>2</v>
      </c>
      <c r="T116" s="41" t="s">
        <v>241</v>
      </c>
    </row>
    <row r="117" spans="1:20" x14ac:dyDescent="0.35">
      <c r="A117" s="4">
        <v>10</v>
      </c>
      <c r="B117" s="14" t="s">
        <v>151</v>
      </c>
      <c r="C117" s="4" t="e">
        <f t="shared" si="15"/>
        <v>#DIV/0!</v>
      </c>
      <c r="D117" s="4" t="e">
        <f t="shared" si="16"/>
        <v>#DIV/0!</v>
      </c>
      <c r="E117" s="4" t="e">
        <f t="shared" si="17"/>
        <v>#DIV/0!</v>
      </c>
      <c r="F117" s="4" t="e">
        <f t="shared" si="18"/>
        <v>#DIV/0!</v>
      </c>
      <c r="G117" s="4" t="e">
        <f t="shared" si="19"/>
        <v>#DIV/0!</v>
      </c>
      <c r="H117" s="4" t="e">
        <f t="shared" si="20"/>
        <v>#DIV/0!</v>
      </c>
      <c r="I117" s="4" t="e">
        <f t="shared" si="21"/>
        <v>#DIV/0!</v>
      </c>
      <c r="J117" s="4" t="e">
        <f t="shared" si="22"/>
        <v>#DIV/0!</v>
      </c>
      <c r="K117" s="4" t="e">
        <f t="shared" si="23"/>
        <v>#DIV/0!</v>
      </c>
      <c r="L117" s="14" t="e">
        <f t="shared" si="24"/>
        <v>#DIV/0!</v>
      </c>
      <c r="R117" s="72"/>
      <c r="S117" s="72"/>
      <c r="T117" s="41" t="s">
        <v>175</v>
      </c>
    </row>
    <row r="118" spans="1:20" x14ac:dyDescent="0.35">
      <c r="A118" s="4">
        <v>11</v>
      </c>
      <c r="B118" s="14" t="s">
        <v>154</v>
      </c>
      <c r="C118" s="4" t="e">
        <f t="shared" si="15"/>
        <v>#DIV/0!</v>
      </c>
      <c r="D118" s="4" t="e">
        <f t="shared" si="16"/>
        <v>#DIV/0!</v>
      </c>
      <c r="E118" s="4" t="e">
        <f t="shared" si="17"/>
        <v>#DIV/0!</v>
      </c>
      <c r="F118" s="4" t="e">
        <f t="shared" si="18"/>
        <v>#DIV/0!</v>
      </c>
      <c r="G118" s="4" t="e">
        <f t="shared" si="19"/>
        <v>#DIV/0!</v>
      </c>
      <c r="H118" s="4" t="e">
        <f t="shared" si="20"/>
        <v>#DIV/0!</v>
      </c>
      <c r="I118" s="4" t="e">
        <f t="shared" si="21"/>
        <v>#DIV/0!</v>
      </c>
      <c r="J118" s="4" t="e">
        <f t="shared" si="22"/>
        <v>#DIV/0!</v>
      </c>
      <c r="K118" s="4" t="e">
        <f t="shared" si="23"/>
        <v>#DIV/0!</v>
      </c>
      <c r="L118" s="14" t="e">
        <f t="shared" si="24"/>
        <v>#DIV/0!</v>
      </c>
      <c r="R118" s="41" t="s">
        <v>59</v>
      </c>
      <c r="S118" s="41">
        <v>1</v>
      </c>
      <c r="T118" s="41" t="s">
        <v>244</v>
      </c>
    </row>
    <row r="119" spans="1:20" x14ac:dyDescent="0.35">
      <c r="A119" s="4">
        <v>12</v>
      </c>
      <c r="B119" s="14" t="s">
        <v>157</v>
      </c>
      <c r="C119" s="4" t="e">
        <f t="shared" ref="C119" si="25">SQRT(SUMXMY2(B41:R41, $B$97:$R$97))</f>
        <v>#DIV/0!</v>
      </c>
      <c r="D119" s="4" t="e">
        <f t="shared" ref="D119" si="26">SQRT(SUMXMY2(B41:R41, $B$98:$R$98))</f>
        <v>#DIV/0!</v>
      </c>
      <c r="E119" s="4" t="e">
        <f t="shared" ref="E119" si="27">SQRT(SUMXMY2(B41:R41, $B$99:$R$99))</f>
        <v>#DIV/0!</v>
      </c>
      <c r="F119" s="4" t="e">
        <f t="shared" ref="F119" si="28">SQRT(SUMXMY2(B41:R41, $B$100:$R$100))</f>
        <v>#DIV/0!</v>
      </c>
      <c r="G119" s="4" t="e">
        <f t="shared" ref="G119" si="29">SQRT(SUMXMY2(B41:R41, $B$101:$R$101))</f>
        <v>#DIV/0!</v>
      </c>
      <c r="H119" s="4" t="e">
        <f t="shared" ref="H119" si="30">SQRT(SUMXMY2(B41:R41, $B$102:$R$102))</f>
        <v>#DIV/0!</v>
      </c>
      <c r="I119" s="4" t="e">
        <f t="shared" ref="I119" si="31">SQRT(SUMXMY2(B41:R41, $B$103:$R$103))</f>
        <v>#DIV/0!</v>
      </c>
      <c r="J119" s="4" t="e">
        <f t="shared" si="22"/>
        <v>#DIV/0!</v>
      </c>
      <c r="K119" s="4" t="e">
        <f t="shared" si="23"/>
        <v>#DIV/0!</v>
      </c>
      <c r="L119" s="14" t="e">
        <f t="shared" si="24"/>
        <v>#DIV/0!</v>
      </c>
      <c r="R119" s="72" t="s">
        <v>88</v>
      </c>
      <c r="S119" s="72">
        <v>8</v>
      </c>
      <c r="T119" s="41" t="s">
        <v>146</v>
      </c>
    </row>
    <row r="120" spans="1:20" x14ac:dyDescent="0.35">
      <c r="A120" s="4">
        <v>14</v>
      </c>
      <c r="B120" s="14" t="s">
        <v>163</v>
      </c>
      <c r="C120" s="4" t="e">
        <f t="shared" ref="C120:C131" si="32">SQRT(SUMXMY2(B43:R43, $B$97:$R$97))</f>
        <v>#DIV/0!</v>
      </c>
      <c r="D120" s="4" t="e">
        <f t="shared" ref="D120:D131" si="33">SQRT(SUMXMY2(B43:R43, $B$98:$R$98))</f>
        <v>#DIV/0!</v>
      </c>
      <c r="E120" s="4" t="e">
        <f t="shared" ref="E120:E131" si="34">SQRT(SUMXMY2(B43:R43, $B$99:$R$99))</f>
        <v>#DIV/0!</v>
      </c>
      <c r="F120" s="4" t="e">
        <f t="shared" ref="F120:F131" si="35">SQRT(SUMXMY2(B43:R43, $B$100:$R$100))</f>
        <v>#DIV/0!</v>
      </c>
      <c r="G120" s="4" t="e">
        <f t="shared" ref="G120:G131" si="36">SQRT(SUMXMY2(B43:R43, $B$101:$R$101))</f>
        <v>#DIV/0!</v>
      </c>
      <c r="H120" s="4" t="e">
        <f t="shared" ref="H120:H131" si="37">SQRT(SUMXMY2(B43:R43, $B$102:$R$102))</f>
        <v>#DIV/0!</v>
      </c>
      <c r="I120" s="4" t="e">
        <f t="shared" ref="I120:I131" si="38">SQRT(SUMXMY2(B43:R43, $B$103:$R$103))</f>
        <v>#DIV/0!</v>
      </c>
      <c r="J120" s="4" t="e">
        <f t="shared" si="22"/>
        <v>#DIV/0!</v>
      </c>
      <c r="K120" s="4" t="e">
        <f t="shared" si="23"/>
        <v>#DIV/0!</v>
      </c>
      <c r="L120" s="14" t="e">
        <f t="shared" si="24"/>
        <v>#DIV/0!</v>
      </c>
      <c r="R120" s="72"/>
      <c r="S120" s="72"/>
      <c r="T120" s="41" t="s">
        <v>137</v>
      </c>
    </row>
    <row r="121" spans="1:20" x14ac:dyDescent="0.35">
      <c r="A121" s="4">
        <v>15</v>
      </c>
      <c r="B121" s="14" t="s">
        <v>166</v>
      </c>
      <c r="C121" s="4" t="e">
        <f t="shared" si="32"/>
        <v>#DIV/0!</v>
      </c>
      <c r="D121" s="4" t="e">
        <f t="shared" si="33"/>
        <v>#DIV/0!</v>
      </c>
      <c r="E121" s="4" t="e">
        <f t="shared" si="34"/>
        <v>#DIV/0!</v>
      </c>
      <c r="F121" s="4" t="e">
        <f t="shared" si="35"/>
        <v>#DIV/0!</v>
      </c>
      <c r="G121" s="4" t="e">
        <f t="shared" si="36"/>
        <v>#DIV/0!</v>
      </c>
      <c r="H121" s="4" t="e">
        <f t="shared" si="37"/>
        <v>#DIV/0!</v>
      </c>
      <c r="I121" s="4" t="e">
        <f t="shared" si="38"/>
        <v>#DIV/0!</v>
      </c>
      <c r="J121" s="4" t="e">
        <f t="shared" si="22"/>
        <v>#DIV/0!</v>
      </c>
      <c r="K121" s="4" t="e">
        <f t="shared" si="23"/>
        <v>#DIV/0!</v>
      </c>
      <c r="L121" s="14" t="e">
        <f t="shared" si="24"/>
        <v>#DIV/0!</v>
      </c>
      <c r="R121" s="72"/>
      <c r="S121" s="72"/>
      <c r="T121" s="41" t="s">
        <v>154</v>
      </c>
    </row>
    <row r="122" spans="1:20" x14ac:dyDescent="0.35">
      <c r="A122" s="4">
        <v>16</v>
      </c>
      <c r="B122" s="14" t="s">
        <v>169</v>
      </c>
      <c r="C122" s="4" t="e">
        <f t="shared" si="32"/>
        <v>#DIV/0!</v>
      </c>
      <c r="D122" s="4" t="e">
        <f t="shared" si="33"/>
        <v>#DIV/0!</v>
      </c>
      <c r="E122" s="4" t="e">
        <f t="shared" si="34"/>
        <v>#DIV/0!</v>
      </c>
      <c r="F122" s="4" t="e">
        <f t="shared" si="35"/>
        <v>#DIV/0!</v>
      </c>
      <c r="G122" s="4" t="e">
        <f t="shared" si="36"/>
        <v>#DIV/0!</v>
      </c>
      <c r="H122" s="4" t="e">
        <f t="shared" si="37"/>
        <v>#DIV/0!</v>
      </c>
      <c r="I122" s="4" t="e">
        <f t="shared" si="38"/>
        <v>#DIV/0!</v>
      </c>
      <c r="J122" s="4" t="e">
        <f t="shared" si="22"/>
        <v>#DIV/0!</v>
      </c>
      <c r="K122" s="4" t="e">
        <f t="shared" si="23"/>
        <v>#DIV/0!</v>
      </c>
      <c r="L122" s="14" t="e">
        <f t="shared" si="24"/>
        <v>#DIV/0!</v>
      </c>
      <c r="R122" s="72"/>
      <c r="S122" s="72"/>
      <c r="T122" s="41" t="s">
        <v>166</v>
      </c>
    </row>
    <row r="123" spans="1:20" x14ac:dyDescent="0.35">
      <c r="A123" s="4">
        <v>17</v>
      </c>
      <c r="B123" s="14" t="s">
        <v>172</v>
      </c>
      <c r="C123" s="4" t="e">
        <f t="shared" si="32"/>
        <v>#DIV/0!</v>
      </c>
      <c r="D123" s="4" t="e">
        <f t="shared" si="33"/>
        <v>#DIV/0!</v>
      </c>
      <c r="E123" s="4" t="e">
        <f t="shared" si="34"/>
        <v>#DIV/0!</v>
      </c>
      <c r="F123" s="4" t="e">
        <f t="shared" si="35"/>
        <v>#DIV/0!</v>
      </c>
      <c r="G123" s="4" t="e">
        <f t="shared" si="36"/>
        <v>#DIV/0!</v>
      </c>
      <c r="H123" s="4" t="e">
        <f t="shared" si="37"/>
        <v>#DIV/0!</v>
      </c>
      <c r="I123" s="4" t="e">
        <f t="shared" si="38"/>
        <v>#DIV/0!</v>
      </c>
      <c r="J123" s="4" t="e">
        <f t="shared" si="22"/>
        <v>#DIV/0!</v>
      </c>
      <c r="K123" s="4" t="e">
        <f t="shared" si="23"/>
        <v>#DIV/0!</v>
      </c>
      <c r="L123" s="14" t="e">
        <f t="shared" si="24"/>
        <v>#DIV/0!</v>
      </c>
      <c r="R123" s="72"/>
      <c r="S123" s="72"/>
      <c r="T123" s="41" t="s">
        <v>181</v>
      </c>
    </row>
    <row r="124" spans="1:20" x14ac:dyDescent="0.35">
      <c r="A124" s="4">
        <v>18</v>
      </c>
      <c r="B124" s="14" t="s">
        <v>175</v>
      </c>
      <c r="C124" s="4" t="e">
        <f t="shared" si="32"/>
        <v>#DIV/0!</v>
      </c>
      <c r="D124" s="4" t="e">
        <f t="shared" si="33"/>
        <v>#DIV/0!</v>
      </c>
      <c r="E124" s="4" t="e">
        <f t="shared" si="34"/>
        <v>#DIV/0!</v>
      </c>
      <c r="F124" s="4" t="e">
        <f t="shared" si="35"/>
        <v>#DIV/0!</v>
      </c>
      <c r="G124" s="4" t="e">
        <f t="shared" si="36"/>
        <v>#DIV/0!</v>
      </c>
      <c r="H124" s="4" t="e">
        <f t="shared" si="37"/>
        <v>#DIV/0!</v>
      </c>
      <c r="I124" s="4" t="e">
        <f t="shared" si="38"/>
        <v>#DIV/0!</v>
      </c>
      <c r="J124" s="4" t="e">
        <f t="shared" si="22"/>
        <v>#DIV/0!</v>
      </c>
      <c r="K124" s="4" t="e">
        <f t="shared" si="23"/>
        <v>#DIV/0!</v>
      </c>
      <c r="L124" s="14" t="e">
        <f t="shared" si="24"/>
        <v>#DIV/0!</v>
      </c>
      <c r="R124" s="72"/>
      <c r="S124" s="72"/>
      <c r="T124" s="41" t="s">
        <v>227</v>
      </c>
    </row>
    <row r="125" spans="1:20" x14ac:dyDescent="0.35">
      <c r="A125" s="4">
        <v>19</v>
      </c>
      <c r="B125" s="14" t="s">
        <v>178</v>
      </c>
      <c r="C125" s="4" t="e">
        <f t="shared" si="32"/>
        <v>#DIV/0!</v>
      </c>
      <c r="D125" s="4" t="e">
        <f t="shared" si="33"/>
        <v>#DIV/0!</v>
      </c>
      <c r="E125" s="4" t="e">
        <f t="shared" si="34"/>
        <v>#DIV/0!</v>
      </c>
      <c r="F125" s="4" t="e">
        <f t="shared" si="35"/>
        <v>#DIV/0!</v>
      </c>
      <c r="G125" s="4" t="e">
        <f t="shared" si="36"/>
        <v>#DIV/0!</v>
      </c>
      <c r="H125" s="4" t="e">
        <f t="shared" si="37"/>
        <v>#DIV/0!</v>
      </c>
      <c r="I125" s="4" t="e">
        <f t="shared" si="38"/>
        <v>#DIV/0!</v>
      </c>
      <c r="J125" s="4" t="e">
        <f t="shared" si="22"/>
        <v>#DIV/0!</v>
      </c>
      <c r="K125" s="4" t="e">
        <f t="shared" si="23"/>
        <v>#DIV/0!</v>
      </c>
      <c r="L125" s="14" t="e">
        <f t="shared" si="24"/>
        <v>#DIV/0!</v>
      </c>
      <c r="R125" s="72"/>
      <c r="S125" s="72"/>
      <c r="T125" s="41" t="s">
        <v>253</v>
      </c>
    </row>
    <row r="126" spans="1:20" x14ac:dyDescent="0.35">
      <c r="A126" s="4">
        <v>20</v>
      </c>
      <c r="B126" s="14" t="s">
        <v>181</v>
      </c>
      <c r="C126" s="4" t="e">
        <f t="shared" si="32"/>
        <v>#DIV/0!</v>
      </c>
      <c r="D126" s="4" t="e">
        <f t="shared" si="33"/>
        <v>#DIV/0!</v>
      </c>
      <c r="E126" s="4" t="e">
        <f t="shared" si="34"/>
        <v>#DIV/0!</v>
      </c>
      <c r="F126" s="4" t="e">
        <f t="shared" si="35"/>
        <v>#DIV/0!</v>
      </c>
      <c r="G126" s="4" t="e">
        <f t="shared" si="36"/>
        <v>#DIV/0!</v>
      </c>
      <c r="H126" s="4" t="e">
        <f t="shared" si="37"/>
        <v>#DIV/0!</v>
      </c>
      <c r="I126" s="4" t="e">
        <f t="shared" si="38"/>
        <v>#DIV/0!</v>
      </c>
      <c r="J126" s="4" t="e">
        <f t="shared" si="22"/>
        <v>#DIV/0!</v>
      </c>
      <c r="K126" s="4" t="e">
        <f t="shared" si="23"/>
        <v>#DIV/0!</v>
      </c>
      <c r="L126" s="14" t="e">
        <f t="shared" si="24"/>
        <v>#DIV/0!</v>
      </c>
      <c r="R126" s="72"/>
      <c r="S126" s="72"/>
      <c r="T126" s="41" t="s">
        <v>226</v>
      </c>
    </row>
    <row r="127" spans="1:20" x14ac:dyDescent="0.35">
      <c r="A127" s="4">
        <v>21</v>
      </c>
      <c r="B127" s="14" t="s">
        <v>227</v>
      </c>
      <c r="C127" s="4" t="e">
        <f t="shared" si="32"/>
        <v>#DIV/0!</v>
      </c>
      <c r="D127" s="4" t="e">
        <f t="shared" si="33"/>
        <v>#DIV/0!</v>
      </c>
      <c r="E127" s="4" t="e">
        <f t="shared" si="34"/>
        <v>#DIV/0!</v>
      </c>
      <c r="F127" s="4" t="e">
        <f t="shared" si="35"/>
        <v>#DIV/0!</v>
      </c>
      <c r="G127" s="4" t="e">
        <f t="shared" si="36"/>
        <v>#DIV/0!</v>
      </c>
      <c r="H127" s="4" t="e">
        <f t="shared" si="37"/>
        <v>#DIV/0!</v>
      </c>
      <c r="I127" s="4" t="e">
        <f t="shared" si="38"/>
        <v>#DIV/0!</v>
      </c>
      <c r="J127" s="4" t="e">
        <f t="shared" si="22"/>
        <v>#DIV/0!</v>
      </c>
      <c r="K127" s="4" t="e">
        <f t="shared" si="23"/>
        <v>#DIV/0!</v>
      </c>
      <c r="L127" s="14" t="e">
        <f t="shared" si="24"/>
        <v>#DIV/0!</v>
      </c>
      <c r="R127" s="72" t="s">
        <v>184</v>
      </c>
      <c r="S127" s="72">
        <v>4</v>
      </c>
      <c r="T127" s="41" t="s">
        <v>140</v>
      </c>
    </row>
    <row r="128" spans="1:20" x14ac:dyDescent="0.35">
      <c r="A128" s="4">
        <v>22</v>
      </c>
      <c r="B128" s="14" t="s">
        <v>224</v>
      </c>
      <c r="C128" s="4" t="e">
        <f t="shared" si="32"/>
        <v>#DIV/0!</v>
      </c>
      <c r="D128" s="4" t="e">
        <f t="shared" si="33"/>
        <v>#DIV/0!</v>
      </c>
      <c r="E128" s="4" t="e">
        <f t="shared" si="34"/>
        <v>#DIV/0!</v>
      </c>
      <c r="F128" s="4" t="e">
        <f t="shared" si="35"/>
        <v>#DIV/0!</v>
      </c>
      <c r="G128" s="4" t="e">
        <f t="shared" si="36"/>
        <v>#DIV/0!</v>
      </c>
      <c r="H128" s="4" t="e">
        <f t="shared" si="37"/>
        <v>#DIV/0!</v>
      </c>
      <c r="I128" s="4" t="e">
        <f t="shared" si="38"/>
        <v>#DIV/0!</v>
      </c>
      <c r="J128" s="4" t="e">
        <f t="shared" si="22"/>
        <v>#DIV/0!</v>
      </c>
      <c r="K128" s="4" t="e">
        <f t="shared" si="23"/>
        <v>#DIV/0!</v>
      </c>
      <c r="L128" s="14" t="e">
        <f t="shared" si="24"/>
        <v>#DIV/0!</v>
      </c>
      <c r="R128" s="72"/>
      <c r="S128" s="72"/>
      <c r="T128" s="41" t="s">
        <v>149</v>
      </c>
    </row>
    <row r="129" spans="1:20" x14ac:dyDescent="0.35">
      <c r="A129" s="4">
        <v>23</v>
      </c>
      <c r="B129" s="14" t="s">
        <v>248</v>
      </c>
      <c r="C129" s="4" t="e">
        <f t="shared" si="32"/>
        <v>#DIV/0!</v>
      </c>
      <c r="D129" s="4" t="e">
        <f t="shared" si="33"/>
        <v>#DIV/0!</v>
      </c>
      <c r="E129" s="4" t="e">
        <f t="shared" si="34"/>
        <v>#DIV/0!</v>
      </c>
      <c r="F129" s="4" t="e">
        <f t="shared" si="35"/>
        <v>#DIV/0!</v>
      </c>
      <c r="G129" s="4" t="e">
        <f t="shared" si="36"/>
        <v>#DIV/0!</v>
      </c>
      <c r="H129" s="4" t="e">
        <f t="shared" si="37"/>
        <v>#DIV/0!</v>
      </c>
      <c r="I129" s="4" t="e">
        <f t="shared" si="38"/>
        <v>#DIV/0!</v>
      </c>
      <c r="J129" s="4" t="e">
        <f t="shared" si="22"/>
        <v>#DIV/0!</v>
      </c>
      <c r="K129" s="4" t="e">
        <f t="shared" si="23"/>
        <v>#DIV/0!</v>
      </c>
      <c r="L129" s="14" t="e">
        <f>J129^2</f>
        <v>#DIV/0!</v>
      </c>
      <c r="R129" s="72"/>
      <c r="S129" s="72"/>
      <c r="T129" s="41" t="s">
        <v>160</v>
      </c>
    </row>
    <row r="130" spans="1:20" x14ac:dyDescent="0.35">
      <c r="A130" s="4">
        <v>24</v>
      </c>
      <c r="B130" s="14" t="s">
        <v>226</v>
      </c>
      <c r="C130" s="4" t="e">
        <f t="shared" si="32"/>
        <v>#DIV/0!</v>
      </c>
      <c r="D130" s="4" t="e">
        <f t="shared" si="33"/>
        <v>#DIV/0!</v>
      </c>
      <c r="E130" s="4" t="e">
        <f t="shared" si="34"/>
        <v>#DIV/0!</v>
      </c>
      <c r="F130" s="4" t="e">
        <f t="shared" si="35"/>
        <v>#DIV/0!</v>
      </c>
      <c r="G130" s="4" t="e">
        <f t="shared" si="36"/>
        <v>#DIV/0!</v>
      </c>
      <c r="H130" s="4" t="e">
        <f t="shared" si="37"/>
        <v>#DIV/0!</v>
      </c>
      <c r="I130" s="4" t="e">
        <f t="shared" si="38"/>
        <v>#DIV/0!</v>
      </c>
      <c r="J130" s="4" t="e">
        <f t="shared" si="22"/>
        <v>#DIV/0!</v>
      </c>
      <c r="K130" s="4" t="e">
        <f t="shared" si="23"/>
        <v>#DIV/0!</v>
      </c>
      <c r="L130" s="14" t="e">
        <f t="shared" ref="L130:L131" si="39">J130^2</f>
        <v>#DIV/0!</v>
      </c>
      <c r="R130" s="106"/>
      <c r="S130" s="106"/>
      <c r="T130" s="41" t="s">
        <v>163</v>
      </c>
    </row>
    <row r="131" spans="1:20" x14ac:dyDescent="0.35">
      <c r="A131" s="4">
        <v>25</v>
      </c>
      <c r="B131" s="14" t="s">
        <v>225</v>
      </c>
      <c r="C131" s="4" t="e">
        <f t="shared" si="32"/>
        <v>#DIV/0!</v>
      </c>
      <c r="D131" s="4" t="e">
        <f t="shared" si="33"/>
        <v>#DIV/0!</v>
      </c>
      <c r="E131" s="4" t="e">
        <f t="shared" si="34"/>
        <v>#DIV/0!</v>
      </c>
      <c r="F131" s="4" t="e">
        <f t="shared" si="35"/>
        <v>#DIV/0!</v>
      </c>
      <c r="G131" s="4" t="e">
        <f t="shared" si="36"/>
        <v>#DIV/0!</v>
      </c>
      <c r="H131" s="4" t="e">
        <f t="shared" si="37"/>
        <v>#DIV/0!</v>
      </c>
      <c r="I131" s="4" t="e">
        <f t="shared" si="38"/>
        <v>#DIV/0!</v>
      </c>
      <c r="J131" s="4" t="e">
        <f t="shared" si="22"/>
        <v>#DIV/0!</v>
      </c>
      <c r="K131" s="4" t="e">
        <f t="shared" si="23"/>
        <v>#DIV/0!</v>
      </c>
      <c r="L131" s="14" t="e">
        <f t="shared" si="39"/>
        <v>#DIV/0!</v>
      </c>
      <c r="R131" s="4" t="s">
        <v>185</v>
      </c>
      <c r="S131" s="4">
        <v>1</v>
      </c>
      <c r="T131" s="4" t="s">
        <v>143</v>
      </c>
    </row>
    <row r="134" spans="1:20" x14ac:dyDescent="0.35">
      <c r="A134" s="70" t="s">
        <v>94</v>
      </c>
      <c r="B134" s="70"/>
      <c r="C134" s="70"/>
      <c r="D134" s="70"/>
      <c r="E134" s="70"/>
      <c r="F134" s="70"/>
      <c r="G134" s="70"/>
      <c r="H134" s="70"/>
      <c r="I134" s="70"/>
      <c r="J134" s="70"/>
      <c r="K134" s="70"/>
      <c r="L134" s="70"/>
      <c r="M134" s="70"/>
      <c r="N134" s="70"/>
      <c r="O134" s="70"/>
      <c r="P134" s="70"/>
      <c r="Q134" s="70"/>
      <c r="R134" s="70"/>
    </row>
    <row r="135" spans="1:20" x14ac:dyDescent="0.35">
      <c r="A135" s="45" t="s">
        <v>87</v>
      </c>
      <c r="B135" s="45" t="s">
        <v>110</v>
      </c>
      <c r="C135" s="45" t="s">
        <v>111</v>
      </c>
      <c r="D135" s="45" t="s">
        <v>112</v>
      </c>
      <c r="E135" s="45" t="s">
        <v>113</v>
      </c>
      <c r="F135" s="45" t="s">
        <v>114</v>
      </c>
      <c r="G135" s="45" t="s">
        <v>115</v>
      </c>
      <c r="H135" s="45" t="s">
        <v>116</v>
      </c>
      <c r="I135" s="45" t="s">
        <v>117</v>
      </c>
      <c r="J135" s="45" t="s">
        <v>118</v>
      </c>
      <c r="K135" s="45" t="s">
        <v>119</v>
      </c>
      <c r="L135" s="45" t="s">
        <v>120</v>
      </c>
      <c r="M135" s="45" t="s">
        <v>121</v>
      </c>
      <c r="N135" s="45" t="s">
        <v>122</v>
      </c>
      <c r="O135" s="45" t="s">
        <v>124</v>
      </c>
      <c r="P135" s="45" t="s">
        <v>125</v>
      </c>
      <c r="Q135" s="45" t="s">
        <v>126</v>
      </c>
      <c r="R135" s="45" t="s">
        <v>127</v>
      </c>
    </row>
    <row r="136" spans="1:20" x14ac:dyDescent="0.35">
      <c r="A136" s="14" t="s">
        <v>49</v>
      </c>
      <c r="B136" s="14" t="e">
        <f>AVERAGEIFS(B$30:B$54,$K$68:$K$92, "C1")</f>
        <v>#DIV/0!</v>
      </c>
      <c r="C136" s="14" t="e">
        <f t="shared" ref="C136:R136" si="40">AVERAGEIFS(C$30:C$54,$K$68:$K$92, "C1")</f>
        <v>#DIV/0!</v>
      </c>
      <c r="D136" s="14" t="e">
        <f t="shared" si="40"/>
        <v>#DIV/0!</v>
      </c>
      <c r="E136" s="14" t="e">
        <f t="shared" si="40"/>
        <v>#DIV/0!</v>
      </c>
      <c r="F136" s="14" t="e">
        <f t="shared" si="40"/>
        <v>#DIV/0!</v>
      </c>
      <c r="G136" s="14" t="e">
        <f t="shared" si="40"/>
        <v>#DIV/0!</v>
      </c>
      <c r="H136" s="14" t="e">
        <f t="shared" si="40"/>
        <v>#DIV/0!</v>
      </c>
      <c r="I136" s="14" t="e">
        <f t="shared" si="40"/>
        <v>#DIV/0!</v>
      </c>
      <c r="J136" s="14" t="e">
        <f t="shared" si="40"/>
        <v>#DIV/0!</v>
      </c>
      <c r="K136" s="14" t="e">
        <f t="shared" si="40"/>
        <v>#DIV/0!</v>
      </c>
      <c r="L136" s="14" t="e">
        <f t="shared" si="40"/>
        <v>#DIV/0!</v>
      </c>
      <c r="M136" s="14" t="e">
        <f t="shared" si="40"/>
        <v>#DIV/0!</v>
      </c>
      <c r="N136" s="14" t="e">
        <f t="shared" si="40"/>
        <v>#DIV/0!</v>
      </c>
      <c r="O136" s="14" t="e">
        <f t="shared" si="40"/>
        <v>#DIV/0!</v>
      </c>
      <c r="P136" s="14" t="e">
        <f t="shared" si="40"/>
        <v>#DIV/0!</v>
      </c>
      <c r="Q136" s="14" t="e">
        <f t="shared" si="40"/>
        <v>#DIV/0!</v>
      </c>
      <c r="R136" s="14" t="e">
        <f t="shared" si="40"/>
        <v>#DIV/0!</v>
      </c>
    </row>
    <row r="137" spans="1:20" x14ac:dyDescent="0.35">
      <c r="A137" s="14" t="s">
        <v>53</v>
      </c>
      <c r="B137" s="14" t="e">
        <f>AVERAGEIFS(B$30:B$54,$K$68:$K$92, "C2")</f>
        <v>#DIV/0!</v>
      </c>
      <c r="C137" s="14" t="e">
        <f t="shared" ref="C137:R137" si="41">AVERAGEIFS(C$30:C$54,$K$68:$K$92, "C2")</f>
        <v>#DIV/0!</v>
      </c>
      <c r="D137" s="14" t="e">
        <f t="shared" si="41"/>
        <v>#DIV/0!</v>
      </c>
      <c r="E137" s="14" t="e">
        <f t="shared" si="41"/>
        <v>#DIV/0!</v>
      </c>
      <c r="F137" s="14" t="e">
        <f t="shared" si="41"/>
        <v>#DIV/0!</v>
      </c>
      <c r="G137" s="14" t="e">
        <f t="shared" si="41"/>
        <v>#DIV/0!</v>
      </c>
      <c r="H137" s="14" t="e">
        <f t="shared" si="41"/>
        <v>#DIV/0!</v>
      </c>
      <c r="I137" s="14" t="e">
        <f t="shared" si="41"/>
        <v>#DIV/0!</v>
      </c>
      <c r="J137" s="14" t="e">
        <f t="shared" si="41"/>
        <v>#DIV/0!</v>
      </c>
      <c r="K137" s="14" t="e">
        <f t="shared" si="41"/>
        <v>#DIV/0!</v>
      </c>
      <c r="L137" s="14" t="e">
        <f t="shared" si="41"/>
        <v>#DIV/0!</v>
      </c>
      <c r="M137" s="14" t="e">
        <f t="shared" si="41"/>
        <v>#DIV/0!</v>
      </c>
      <c r="N137" s="14" t="e">
        <f t="shared" si="41"/>
        <v>#DIV/0!</v>
      </c>
      <c r="O137" s="14" t="e">
        <f t="shared" si="41"/>
        <v>#DIV/0!</v>
      </c>
      <c r="P137" s="14" t="e">
        <f t="shared" si="41"/>
        <v>#DIV/0!</v>
      </c>
      <c r="Q137" s="14" t="e">
        <f t="shared" si="41"/>
        <v>#DIV/0!</v>
      </c>
      <c r="R137" s="14" t="e">
        <f t="shared" si="41"/>
        <v>#DIV/0!</v>
      </c>
    </row>
    <row r="138" spans="1:20" x14ac:dyDescent="0.35">
      <c r="A138" s="14" t="s">
        <v>58</v>
      </c>
      <c r="B138" s="14" t="e">
        <f>AVERAGEIFS(B$30:B$54,$K$68:$K$92, "C3")</f>
        <v>#DIV/0!</v>
      </c>
      <c r="C138" s="14" t="e">
        <f t="shared" ref="C138:R138" si="42">AVERAGEIFS(C$30:C$54,$K$68:$K$92, "C3")</f>
        <v>#DIV/0!</v>
      </c>
      <c r="D138" s="14" t="e">
        <f t="shared" si="42"/>
        <v>#DIV/0!</v>
      </c>
      <c r="E138" s="14" t="e">
        <f t="shared" si="42"/>
        <v>#DIV/0!</v>
      </c>
      <c r="F138" s="14" t="e">
        <f t="shared" si="42"/>
        <v>#DIV/0!</v>
      </c>
      <c r="G138" s="14" t="e">
        <f t="shared" si="42"/>
        <v>#DIV/0!</v>
      </c>
      <c r="H138" s="14" t="e">
        <f t="shared" si="42"/>
        <v>#DIV/0!</v>
      </c>
      <c r="I138" s="14" t="e">
        <f t="shared" si="42"/>
        <v>#DIV/0!</v>
      </c>
      <c r="J138" s="14" t="e">
        <f t="shared" si="42"/>
        <v>#DIV/0!</v>
      </c>
      <c r="K138" s="14" t="e">
        <f t="shared" si="42"/>
        <v>#DIV/0!</v>
      </c>
      <c r="L138" s="14" t="e">
        <f t="shared" si="42"/>
        <v>#DIV/0!</v>
      </c>
      <c r="M138" s="14" t="e">
        <f t="shared" si="42"/>
        <v>#DIV/0!</v>
      </c>
      <c r="N138" s="14" t="e">
        <f t="shared" si="42"/>
        <v>#DIV/0!</v>
      </c>
      <c r="O138" s="14" t="e">
        <f t="shared" si="42"/>
        <v>#DIV/0!</v>
      </c>
      <c r="P138" s="14" t="e">
        <f t="shared" si="42"/>
        <v>#DIV/0!</v>
      </c>
      <c r="Q138" s="14" t="e">
        <f t="shared" si="42"/>
        <v>#DIV/0!</v>
      </c>
      <c r="R138" s="14" t="e">
        <f t="shared" si="42"/>
        <v>#DIV/0!</v>
      </c>
    </row>
    <row r="139" spans="1:20" x14ac:dyDescent="0.35">
      <c r="A139" s="14" t="s">
        <v>59</v>
      </c>
      <c r="B139" s="14" t="e">
        <f>AVERAGEIFS(B$30:B$54,$K$68:$K$92, "C4")</f>
        <v>#DIV/0!</v>
      </c>
      <c r="C139" s="14" t="e">
        <f t="shared" ref="C139:R139" si="43">AVERAGEIFS(C$30:C$54,$K$68:$K$92, "C4")</f>
        <v>#DIV/0!</v>
      </c>
      <c r="D139" s="14" t="e">
        <f t="shared" si="43"/>
        <v>#DIV/0!</v>
      </c>
      <c r="E139" s="14" t="e">
        <f t="shared" si="43"/>
        <v>#DIV/0!</v>
      </c>
      <c r="F139" s="14" t="e">
        <f t="shared" si="43"/>
        <v>#DIV/0!</v>
      </c>
      <c r="G139" s="14" t="e">
        <f t="shared" si="43"/>
        <v>#DIV/0!</v>
      </c>
      <c r="H139" s="14" t="e">
        <f t="shared" si="43"/>
        <v>#DIV/0!</v>
      </c>
      <c r="I139" s="14" t="e">
        <f t="shared" si="43"/>
        <v>#DIV/0!</v>
      </c>
      <c r="J139" s="14" t="e">
        <f t="shared" si="43"/>
        <v>#DIV/0!</v>
      </c>
      <c r="K139" s="14" t="e">
        <f t="shared" si="43"/>
        <v>#DIV/0!</v>
      </c>
      <c r="L139" s="14" t="e">
        <f t="shared" si="43"/>
        <v>#DIV/0!</v>
      </c>
      <c r="M139" s="14" t="e">
        <f t="shared" si="43"/>
        <v>#DIV/0!</v>
      </c>
      <c r="N139" s="14" t="e">
        <f t="shared" si="43"/>
        <v>#DIV/0!</v>
      </c>
      <c r="O139" s="14" t="e">
        <f t="shared" si="43"/>
        <v>#DIV/0!</v>
      </c>
      <c r="P139" s="14" t="e">
        <f t="shared" si="43"/>
        <v>#DIV/0!</v>
      </c>
      <c r="Q139" s="14" t="e">
        <f t="shared" si="43"/>
        <v>#DIV/0!</v>
      </c>
      <c r="R139" s="14" t="e">
        <f t="shared" si="43"/>
        <v>#DIV/0!</v>
      </c>
    </row>
    <row r="145" spans="1:20" x14ac:dyDescent="0.35">
      <c r="A145" s="70" t="s">
        <v>252</v>
      </c>
      <c r="B145" s="70"/>
      <c r="C145" s="70"/>
      <c r="D145" s="70"/>
      <c r="E145" s="70"/>
      <c r="F145" s="70"/>
      <c r="G145" s="70"/>
      <c r="H145" s="70"/>
      <c r="I145" s="70"/>
      <c r="J145" s="70"/>
      <c r="K145" s="70"/>
      <c r="L145" s="70"/>
      <c r="M145" s="70"/>
      <c r="R145" s="42" t="s">
        <v>186</v>
      </c>
      <c r="S145" s="42" t="s">
        <v>187</v>
      </c>
      <c r="T145" s="42" t="s">
        <v>188</v>
      </c>
    </row>
    <row r="146" spans="1:20" x14ac:dyDescent="0.35">
      <c r="A146" s="43" t="s">
        <v>236</v>
      </c>
      <c r="B146" s="45" t="s">
        <v>106</v>
      </c>
      <c r="C146" s="45" t="s">
        <v>49</v>
      </c>
      <c r="D146" s="45" t="s">
        <v>53</v>
      </c>
      <c r="E146" s="45" t="s">
        <v>58</v>
      </c>
      <c r="F146" s="45" t="s">
        <v>59</v>
      </c>
      <c r="G146" s="45" t="s">
        <v>88</v>
      </c>
      <c r="H146" s="45" t="s">
        <v>184</v>
      </c>
      <c r="I146" s="45" t="s">
        <v>185</v>
      </c>
      <c r="J146" s="42" t="s">
        <v>86</v>
      </c>
      <c r="K146" s="42" t="s">
        <v>87</v>
      </c>
      <c r="L146" s="42" t="s">
        <v>104</v>
      </c>
      <c r="M146" s="42" t="s">
        <v>191</v>
      </c>
      <c r="R146" s="72" t="s">
        <v>49</v>
      </c>
      <c r="S146" s="72">
        <v>7</v>
      </c>
      <c r="T146" s="4" t="s">
        <v>130</v>
      </c>
    </row>
    <row r="147" spans="1:20" x14ac:dyDescent="0.35">
      <c r="A147" s="4">
        <v>1</v>
      </c>
      <c r="B147" s="14" t="s">
        <v>130</v>
      </c>
      <c r="C147" s="4" t="e">
        <f>SQRT(SUMXMY2(B30:R30, $B$136:$R$136))</f>
        <v>#DIV/0!</v>
      </c>
      <c r="D147" s="4" t="e">
        <f t="shared" ref="D147:D171" si="44">SQRT(SUMXMY2(B30:R30, $B$137:$R$137))</f>
        <v>#DIV/0!</v>
      </c>
      <c r="E147" s="4" t="e">
        <f t="shared" ref="E147:E171" si="45">SQRT(SUMXMY2(B30:R30, $B$138:$R$138))</f>
        <v>#DIV/0!</v>
      </c>
      <c r="F147" s="4" t="e">
        <f t="shared" ref="F147:F171" si="46">SQRT(SUMXMY2(B30:R30, $B$139:$R$139))</f>
        <v>#DIV/0!</v>
      </c>
      <c r="G147" s="4" t="e">
        <f t="shared" ref="G147:G171" si="47">SQRT(SUMXMY2(B30:R30, $B$140:$R$140))</f>
        <v>#DIV/0!</v>
      </c>
      <c r="H147" s="4" t="e">
        <f t="shared" ref="H147:H171" si="48">SQRT(SUMXMY2(B30:R30, $B$141:$R$141))</f>
        <v>#DIV/0!</v>
      </c>
      <c r="I147" s="4" t="e">
        <f t="shared" ref="I147:I171" si="49">SQRT(SUMXMY2(B30:R30, $B$142:$R$142))</f>
        <v>#DIV/0!</v>
      </c>
      <c r="J147" s="4" t="e">
        <f>MIN(C147:I147)</f>
        <v>#DIV/0!</v>
      </c>
      <c r="K147" s="4" t="e">
        <f>"C"&amp;MATCH(J147,C147:I147,0)</f>
        <v>#DIV/0!</v>
      </c>
      <c r="L147" s="14" t="e">
        <f>J147^2</f>
        <v>#DIV/0!</v>
      </c>
      <c r="M147" s="14" t="e">
        <f>SUM(L147:L171)</f>
        <v>#DIV/0!</v>
      </c>
      <c r="R147" s="72"/>
      <c r="S147" s="72"/>
      <c r="T147" s="4" t="s">
        <v>157</v>
      </c>
    </row>
    <row r="148" spans="1:20" x14ac:dyDescent="0.35">
      <c r="A148" s="4">
        <v>2</v>
      </c>
      <c r="B148" s="14" t="s">
        <v>134</v>
      </c>
      <c r="C148" s="4" t="e">
        <f t="shared" ref="C148:C171" si="50">SQRT(SUMXMY2(B31:R31, $B$136:$R$136))</f>
        <v>#DIV/0!</v>
      </c>
      <c r="D148" s="4" t="e">
        <f t="shared" si="44"/>
        <v>#DIV/0!</v>
      </c>
      <c r="E148" s="4" t="e">
        <f t="shared" si="45"/>
        <v>#DIV/0!</v>
      </c>
      <c r="F148" s="4" t="e">
        <f t="shared" si="46"/>
        <v>#DIV/0!</v>
      </c>
      <c r="G148" s="4" t="e">
        <f t="shared" si="47"/>
        <v>#DIV/0!</v>
      </c>
      <c r="H148" s="4" t="e">
        <f t="shared" si="48"/>
        <v>#DIV/0!</v>
      </c>
      <c r="I148" s="4" t="e">
        <f t="shared" si="49"/>
        <v>#DIV/0!</v>
      </c>
      <c r="J148" s="4" t="e">
        <f t="shared" ref="J148:J171" si="51">MIN(C148:I148)</f>
        <v>#DIV/0!</v>
      </c>
      <c r="K148" s="4" t="e">
        <f t="shared" ref="K148:K171" si="52">"C"&amp;MATCH(J148,C148:I148,0)</f>
        <v>#DIV/0!</v>
      </c>
      <c r="L148" s="14" t="e">
        <f t="shared" ref="L148:L168" si="53">J148^2</f>
        <v>#DIV/0!</v>
      </c>
      <c r="R148" s="72"/>
      <c r="S148" s="72"/>
      <c r="T148" s="4" t="s">
        <v>172</v>
      </c>
    </row>
    <row r="149" spans="1:20" x14ac:dyDescent="0.35">
      <c r="A149" s="4">
        <v>3</v>
      </c>
      <c r="B149" s="14" t="s">
        <v>241</v>
      </c>
      <c r="C149" s="4" t="e">
        <f t="shared" si="50"/>
        <v>#DIV/0!</v>
      </c>
      <c r="D149" s="4" t="e">
        <f t="shared" si="44"/>
        <v>#DIV/0!</v>
      </c>
      <c r="E149" s="4" t="e">
        <f t="shared" si="45"/>
        <v>#DIV/0!</v>
      </c>
      <c r="F149" s="4" t="e">
        <f t="shared" si="46"/>
        <v>#DIV/0!</v>
      </c>
      <c r="G149" s="4" t="e">
        <f t="shared" si="47"/>
        <v>#DIV/0!</v>
      </c>
      <c r="H149" s="4" t="e">
        <f t="shared" si="48"/>
        <v>#DIV/0!</v>
      </c>
      <c r="I149" s="4" t="e">
        <f t="shared" si="49"/>
        <v>#DIV/0!</v>
      </c>
      <c r="J149" s="4" t="e">
        <f t="shared" si="51"/>
        <v>#DIV/0!</v>
      </c>
      <c r="K149" s="4" t="e">
        <f t="shared" si="52"/>
        <v>#DIV/0!</v>
      </c>
      <c r="L149" s="14" t="e">
        <f t="shared" si="53"/>
        <v>#DIV/0!</v>
      </c>
      <c r="R149" s="72"/>
      <c r="S149" s="72"/>
      <c r="T149" s="4" t="s">
        <v>178</v>
      </c>
    </row>
    <row r="150" spans="1:20" x14ac:dyDescent="0.35">
      <c r="A150" s="4">
        <v>4</v>
      </c>
      <c r="B150" s="14" t="s">
        <v>244</v>
      </c>
      <c r="C150" s="4" t="e">
        <f t="shared" si="50"/>
        <v>#DIV/0!</v>
      </c>
      <c r="D150" s="4" t="e">
        <f t="shared" si="44"/>
        <v>#DIV/0!</v>
      </c>
      <c r="E150" s="4" t="e">
        <f t="shared" si="45"/>
        <v>#DIV/0!</v>
      </c>
      <c r="F150" s="4" t="e">
        <f t="shared" si="46"/>
        <v>#DIV/0!</v>
      </c>
      <c r="G150" s="4" t="e">
        <f t="shared" si="47"/>
        <v>#DIV/0!</v>
      </c>
      <c r="H150" s="4" t="e">
        <f t="shared" si="48"/>
        <v>#DIV/0!</v>
      </c>
      <c r="I150" s="4" t="e">
        <f t="shared" si="49"/>
        <v>#DIV/0!</v>
      </c>
      <c r="J150" s="4" t="e">
        <f t="shared" si="51"/>
        <v>#DIV/0!</v>
      </c>
      <c r="K150" s="4" t="e">
        <f t="shared" si="52"/>
        <v>#DIV/0!</v>
      </c>
      <c r="L150" s="14" t="e">
        <f t="shared" si="53"/>
        <v>#DIV/0!</v>
      </c>
      <c r="R150" s="72"/>
      <c r="S150" s="72"/>
      <c r="T150" s="4" t="s">
        <v>224</v>
      </c>
    </row>
    <row r="151" spans="1:20" x14ac:dyDescent="0.35">
      <c r="A151" s="4">
        <v>5</v>
      </c>
      <c r="B151" s="14" t="s">
        <v>137</v>
      </c>
      <c r="C151" s="4" t="e">
        <f t="shared" si="50"/>
        <v>#DIV/0!</v>
      </c>
      <c r="D151" s="4" t="e">
        <f t="shared" si="44"/>
        <v>#DIV/0!</v>
      </c>
      <c r="E151" s="4" t="e">
        <f t="shared" si="45"/>
        <v>#DIV/0!</v>
      </c>
      <c r="F151" s="4" t="e">
        <f t="shared" si="46"/>
        <v>#DIV/0!</v>
      </c>
      <c r="G151" s="4" t="e">
        <f t="shared" si="47"/>
        <v>#DIV/0!</v>
      </c>
      <c r="H151" s="4" t="e">
        <f t="shared" si="48"/>
        <v>#DIV/0!</v>
      </c>
      <c r="I151" s="4" t="e">
        <f t="shared" si="49"/>
        <v>#DIV/0!</v>
      </c>
      <c r="J151" s="4" t="e">
        <f t="shared" si="51"/>
        <v>#DIV/0!</v>
      </c>
      <c r="K151" s="4" t="e">
        <f t="shared" si="52"/>
        <v>#DIV/0!</v>
      </c>
      <c r="L151" s="14" t="e">
        <f t="shared" si="53"/>
        <v>#DIV/0!</v>
      </c>
      <c r="R151" s="72"/>
      <c r="S151" s="72"/>
      <c r="T151" s="41" t="s">
        <v>169</v>
      </c>
    </row>
    <row r="152" spans="1:20" x14ac:dyDescent="0.35">
      <c r="A152" s="4">
        <v>6</v>
      </c>
      <c r="B152" s="14" t="s">
        <v>140</v>
      </c>
      <c r="C152" s="4" t="e">
        <f t="shared" si="50"/>
        <v>#DIV/0!</v>
      </c>
      <c r="D152" s="4" t="e">
        <f t="shared" si="44"/>
        <v>#DIV/0!</v>
      </c>
      <c r="E152" s="4" t="e">
        <f t="shared" si="45"/>
        <v>#DIV/0!</v>
      </c>
      <c r="F152" s="4" t="e">
        <f t="shared" si="46"/>
        <v>#DIV/0!</v>
      </c>
      <c r="G152" s="4" t="e">
        <f t="shared" si="47"/>
        <v>#DIV/0!</v>
      </c>
      <c r="H152" s="4" t="e">
        <f t="shared" si="48"/>
        <v>#DIV/0!</v>
      </c>
      <c r="I152" s="4" t="e">
        <f t="shared" si="49"/>
        <v>#DIV/0!</v>
      </c>
      <c r="J152" s="4" t="e">
        <f t="shared" si="51"/>
        <v>#DIV/0!</v>
      </c>
      <c r="K152" s="4" t="e">
        <f t="shared" si="52"/>
        <v>#DIV/0!</v>
      </c>
      <c r="L152" s="14" t="e">
        <f t="shared" si="53"/>
        <v>#DIV/0!</v>
      </c>
      <c r="R152" s="72"/>
      <c r="S152" s="72"/>
      <c r="T152" s="4" t="s">
        <v>151</v>
      </c>
    </row>
    <row r="153" spans="1:20" x14ac:dyDescent="0.35">
      <c r="A153" s="4">
        <v>7</v>
      </c>
      <c r="B153" s="14" t="s">
        <v>143</v>
      </c>
      <c r="C153" s="4" t="e">
        <f t="shared" si="50"/>
        <v>#DIV/0!</v>
      </c>
      <c r="D153" s="4" t="e">
        <f t="shared" si="44"/>
        <v>#DIV/0!</v>
      </c>
      <c r="E153" s="4" t="e">
        <f t="shared" si="45"/>
        <v>#DIV/0!</v>
      </c>
      <c r="F153" s="4" t="e">
        <f t="shared" si="46"/>
        <v>#DIV/0!</v>
      </c>
      <c r="G153" s="4" t="e">
        <f t="shared" si="47"/>
        <v>#DIV/0!</v>
      </c>
      <c r="H153" s="4" t="e">
        <f t="shared" si="48"/>
        <v>#DIV/0!</v>
      </c>
      <c r="I153" s="4" t="e">
        <f t="shared" si="49"/>
        <v>#DIV/0!</v>
      </c>
      <c r="J153" s="4" t="e">
        <f t="shared" si="51"/>
        <v>#DIV/0!</v>
      </c>
      <c r="K153" s="4" t="e">
        <f t="shared" si="52"/>
        <v>#DIV/0!</v>
      </c>
      <c r="L153" s="14" t="e">
        <f t="shared" si="53"/>
        <v>#DIV/0!</v>
      </c>
      <c r="R153" s="72" t="s">
        <v>53</v>
      </c>
      <c r="S153" s="72">
        <v>2</v>
      </c>
      <c r="T153" s="41" t="s">
        <v>134</v>
      </c>
    </row>
    <row r="154" spans="1:20" x14ac:dyDescent="0.35">
      <c r="A154" s="4">
        <v>8</v>
      </c>
      <c r="B154" s="14" t="s">
        <v>146</v>
      </c>
      <c r="C154" s="4" t="e">
        <f t="shared" si="50"/>
        <v>#DIV/0!</v>
      </c>
      <c r="D154" s="4" t="e">
        <f t="shared" si="44"/>
        <v>#DIV/0!</v>
      </c>
      <c r="E154" s="4" t="e">
        <f t="shared" si="45"/>
        <v>#DIV/0!</v>
      </c>
      <c r="F154" s="4" t="e">
        <f t="shared" si="46"/>
        <v>#DIV/0!</v>
      </c>
      <c r="G154" s="4" t="e">
        <f t="shared" si="47"/>
        <v>#DIV/0!</v>
      </c>
      <c r="H154" s="4" t="e">
        <f t="shared" si="48"/>
        <v>#DIV/0!</v>
      </c>
      <c r="I154" s="4" t="e">
        <f t="shared" si="49"/>
        <v>#DIV/0!</v>
      </c>
      <c r="J154" s="4" t="e">
        <f t="shared" si="51"/>
        <v>#DIV/0!</v>
      </c>
      <c r="K154" s="4" t="e">
        <f t="shared" si="52"/>
        <v>#DIV/0!</v>
      </c>
      <c r="L154" s="14" t="e">
        <f t="shared" si="53"/>
        <v>#DIV/0!</v>
      </c>
      <c r="R154" s="72"/>
      <c r="S154" s="72"/>
      <c r="T154" s="41" t="s">
        <v>225</v>
      </c>
    </row>
    <row r="155" spans="1:20" x14ac:dyDescent="0.35">
      <c r="A155" s="4">
        <v>9</v>
      </c>
      <c r="B155" s="14" t="s">
        <v>149</v>
      </c>
      <c r="C155" s="4" t="e">
        <f t="shared" si="50"/>
        <v>#DIV/0!</v>
      </c>
      <c r="D155" s="4" t="e">
        <f t="shared" si="44"/>
        <v>#DIV/0!</v>
      </c>
      <c r="E155" s="4" t="e">
        <f t="shared" si="45"/>
        <v>#DIV/0!</v>
      </c>
      <c r="F155" s="4" t="e">
        <f t="shared" si="46"/>
        <v>#DIV/0!</v>
      </c>
      <c r="G155" s="4" t="e">
        <f t="shared" si="47"/>
        <v>#DIV/0!</v>
      </c>
      <c r="H155" s="4" t="e">
        <f t="shared" si="48"/>
        <v>#DIV/0!</v>
      </c>
      <c r="I155" s="4" t="e">
        <f t="shared" si="49"/>
        <v>#DIV/0!</v>
      </c>
      <c r="J155" s="4" t="e">
        <f t="shared" si="51"/>
        <v>#DIV/0!</v>
      </c>
      <c r="K155" s="4" t="e">
        <f t="shared" si="52"/>
        <v>#DIV/0!</v>
      </c>
      <c r="L155" s="14" t="e">
        <f t="shared" si="53"/>
        <v>#DIV/0!</v>
      </c>
      <c r="R155" s="72" t="s">
        <v>58</v>
      </c>
      <c r="S155" s="72">
        <v>2</v>
      </c>
      <c r="T155" s="41" t="s">
        <v>241</v>
      </c>
    </row>
    <row r="156" spans="1:20" x14ac:dyDescent="0.35">
      <c r="A156" s="4">
        <v>10</v>
      </c>
      <c r="B156" s="14" t="s">
        <v>151</v>
      </c>
      <c r="C156" s="4" t="e">
        <f t="shared" si="50"/>
        <v>#DIV/0!</v>
      </c>
      <c r="D156" s="4" t="e">
        <f t="shared" si="44"/>
        <v>#DIV/0!</v>
      </c>
      <c r="E156" s="4" t="e">
        <f t="shared" si="45"/>
        <v>#DIV/0!</v>
      </c>
      <c r="F156" s="4" t="e">
        <f t="shared" si="46"/>
        <v>#DIV/0!</v>
      </c>
      <c r="G156" s="4" t="e">
        <f t="shared" si="47"/>
        <v>#DIV/0!</v>
      </c>
      <c r="H156" s="4" t="e">
        <f t="shared" si="48"/>
        <v>#DIV/0!</v>
      </c>
      <c r="I156" s="4" t="e">
        <f t="shared" si="49"/>
        <v>#DIV/0!</v>
      </c>
      <c r="J156" s="4" t="e">
        <f t="shared" si="51"/>
        <v>#DIV/0!</v>
      </c>
      <c r="K156" s="4" t="e">
        <f t="shared" si="52"/>
        <v>#DIV/0!</v>
      </c>
      <c r="L156" s="14" t="e">
        <f t="shared" si="53"/>
        <v>#DIV/0!</v>
      </c>
      <c r="R156" s="72"/>
      <c r="S156" s="72"/>
      <c r="T156" s="41" t="s">
        <v>175</v>
      </c>
    </row>
    <row r="157" spans="1:20" x14ac:dyDescent="0.35">
      <c r="A157" s="4">
        <v>11</v>
      </c>
      <c r="B157" s="14" t="s">
        <v>154</v>
      </c>
      <c r="C157" s="4" t="e">
        <f t="shared" si="50"/>
        <v>#DIV/0!</v>
      </c>
      <c r="D157" s="4" t="e">
        <f t="shared" si="44"/>
        <v>#DIV/0!</v>
      </c>
      <c r="E157" s="4" t="e">
        <f t="shared" si="45"/>
        <v>#DIV/0!</v>
      </c>
      <c r="F157" s="4" t="e">
        <f t="shared" si="46"/>
        <v>#DIV/0!</v>
      </c>
      <c r="G157" s="4" t="e">
        <f t="shared" si="47"/>
        <v>#DIV/0!</v>
      </c>
      <c r="H157" s="4" t="e">
        <f t="shared" si="48"/>
        <v>#DIV/0!</v>
      </c>
      <c r="I157" s="4" t="e">
        <f t="shared" si="49"/>
        <v>#DIV/0!</v>
      </c>
      <c r="J157" s="4" t="e">
        <f t="shared" si="51"/>
        <v>#DIV/0!</v>
      </c>
      <c r="K157" s="4" t="e">
        <f t="shared" si="52"/>
        <v>#DIV/0!</v>
      </c>
      <c r="L157" s="14" t="e">
        <f t="shared" si="53"/>
        <v>#DIV/0!</v>
      </c>
      <c r="R157" s="41" t="s">
        <v>59</v>
      </c>
      <c r="S157" s="41">
        <v>1</v>
      </c>
      <c r="T157" s="41" t="s">
        <v>244</v>
      </c>
    </row>
    <row r="158" spans="1:20" x14ac:dyDescent="0.35">
      <c r="A158" s="4">
        <v>12</v>
      </c>
      <c r="B158" s="14" t="s">
        <v>157</v>
      </c>
      <c r="C158" s="4" t="e">
        <f t="shared" si="50"/>
        <v>#DIV/0!</v>
      </c>
      <c r="D158" s="4" t="e">
        <f t="shared" si="44"/>
        <v>#DIV/0!</v>
      </c>
      <c r="E158" s="4" t="e">
        <f t="shared" si="45"/>
        <v>#DIV/0!</v>
      </c>
      <c r="F158" s="4" t="e">
        <f t="shared" si="46"/>
        <v>#DIV/0!</v>
      </c>
      <c r="G158" s="4" t="e">
        <f t="shared" si="47"/>
        <v>#DIV/0!</v>
      </c>
      <c r="H158" s="4" t="e">
        <f t="shared" si="48"/>
        <v>#DIV/0!</v>
      </c>
      <c r="I158" s="4" t="e">
        <f t="shared" si="49"/>
        <v>#DIV/0!</v>
      </c>
      <c r="J158" s="4" t="e">
        <f t="shared" si="51"/>
        <v>#DIV/0!</v>
      </c>
      <c r="K158" s="4" t="e">
        <f t="shared" si="52"/>
        <v>#DIV/0!</v>
      </c>
      <c r="L158" s="14" t="e">
        <f t="shared" si="53"/>
        <v>#DIV/0!</v>
      </c>
      <c r="R158" s="72" t="s">
        <v>88</v>
      </c>
      <c r="S158" s="72">
        <v>8</v>
      </c>
      <c r="T158" s="41" t="s">
        <v>146</v>
      </c>
    </row>
    <row r="159" spans="1:20" x14ac:dyDescent="0.35">
      <c r="A159" s="4">
        <v>13</v>
      </c>
      <c r="B159" s="14" t="s">
        <v>160</v>
      </c>
      <c r="C159" s="4" t="e">
        <f t="shared" si="50"/>
        <v>#DIV/0!</v>
      </c>
      <c r="D159" s="4" t="e">
        <f t="shared" si="44"/>
        <v>#DIV/0!</v>
      </c>
      <c r="E159" s="4" t="e">
        <f t="shared" si="45"/>
        <v>#DIV/0!</v>
      </c>
      <c r="F159" s="4" t="e">
        <f t="shared" si="46"/>
        <v>#DIV/0!</v>
      </c>
      <c r="G159" s="4" t="e">
        <f t="shared" si="47"/>
        <v>#DIV/0!</v>
      </c>
      <c r="H159" s="4" t="e">
        <f t="shared" si="48"/>
        <v>#DIV/0!</v>
      </c>
      <c r="I159" s="4" t="e">
        <f t="shared" si="49"/>
        <v>#DIV/0!</v>
      </c>
      <c r="J159" s="4" t="e">
        <f t="shared" si="51"/>
        <v>#DIV/0!</v>
      </c>
      <c r="K159" s="4" t="e">
        <f t="shared" si="52"/>
        <v>#DIV/0!</v>
      </c>
      <c r="L159" s="14" t="e">
        <f t="shared" si="53"/>
        <v>#DIV/0!</v>
      </c>
      <c r="R159" s="72"/>
      <c r="S159" s="72"/>
      <c r="T159" s="41" t="s">
        <v>137</v>
      </c>
    </row>
    <row r="160" spans="1:20" x14ac:dyDescent="0.35">
      <c r="A160" s="4">
        <v>14</v>
      </c>
      <c r="B160" s="14" t="s">
        <v>163</v>
      </c>
      <c r="C160" s="4" t="e">
        <f t="shared" si="50"/>
        <v>#DIV/0!</v>
      </c>
      <c r="D160" s="4" t="e">
        <f t="shared" si="44"/>
        <v>#DIV/0!</v>
      </c>
      <c r="E160" s="4" t="e">
        <f t="shared" si="45"/>
        <v>#DIV/0!</v>
      </c>
      <c r="F160" s="4" t="e">
        <f t="shared" si="46"/>
        <v>#DIV/0!</v>
      </c>
      <c r="G160" s="4" t="e">
        <f t="shared" si="47"/>
        <v>#DIV/0!</v>
      </c>
      <c r="H160" s="4" t="e">
        <f t="shared" si="48"/>
        <v>#DIV/0!</v>
      </c>
      <c r="I160" s="4" t="e">
        <f t="shared" si="49"/>
        <v>#DIV/0!</v>
      </c>
      <c r="J160" s="4" t="e">
        <f t="shared" si="51"/>
        <v>#DIV/0!</v>
      </c>
      <c r="K160" s="4" t="e">
        <f t="shared" si="52"/>
        <v>#DIV/0!</v>
      </c>
      <c r="L160" s="14" t="e">
        <f t="shared" si="53"/>
        <v>#DIV/0!</v>
      </c>
      <c r="R160" s="72"/>
      <c r="S160" s="72"/>
      <c r="T160" s="41" t="s">
        <v>154</v>
      </c>
    </row>
    <row r="161" spans="1:20" x14ac:dyDescent="0.35">
      <c r="A161" s="4">
        <v>15</v>
      </c>
      <c r="B161" s="14" t="s">
        <v>166</v>
      </c>
      <c r="C161" s="4" t="e">
        <f t="shared" si="50"/>
        <v>#DIV/0!</v>
      </c>
      <c r="D161" s="4" t="e">
        <f t="shared" si="44"/>
        <v>#DIV/0!</v>
      </c>
      <c r="E161" s="4" t="e">
        <f t="shared" si="45"/>
        <v>#DIV/0!</v>
      </c>
      <c r="F161" s="4" t="e">
        <f t="shared" si="46"/>
        <v>#DIV/0!</v>
      </c>
      <c r="G161" s="4" t="e">
        <f t="shared" si="47"/>
        <v>#DIV/0!</v>
      </c>
      <c r="H161" s="4" t="e">
        <f t="shared" si="48"/>
        <v>#DIV/0!</v>
      </c>
      <c r="I161" s="4" t="e">
        <f t="shared" si="49"/>
        <v>#DIV/0!</v>
      </c>
      <c r="J161" s="4" t="e">
        <f t="shared" si="51"/>
        <v>#DIV/0!</v>
      </c>
      <c r="K161" s="4" t="e">
        <f t="shared" si="52"/>
        <v>#DIV/0!</v>
      </c>
      <c r="L161" s="14" t="e">
        <f t="shared" si="53"/>
        <v>#DIV/0!</v>
      </c>
      <c r="R161" s="72"/>
      <c r="S161" s="72"/>
      <c r="T161" s="41" t="s">
        <v>166</v>
      </c>
    </row>
    <row r="162" spans="1:20" x14ac:dyDescent="0.35">
      <c r="A162" s="4">
        <v>16</v>
      </c>
      <c r="B162" s="14" t="s">
        <v>169</v>
      </c>
      <c r="C162" s="4" t="e">
        <f t="shared" si="50"/>
        <v>#DIV/0!</v>
      </c>
      <c r="D162" s="4" t="e">
        <f t="shared" si="44"/>
        <v>#DIV/0!</v>
      </c>
      <c r="E162" s="4" t="e">
        <f t="shared" si="45"/>
        <v>#DIV/0!</v>
      </c>
      <c r="F162" s="4" t="e">
        <f t="shared" si="46"/>
        <v>#DIV/0!</v>
      </c>
      <c r="G162" s="4" t="e">
        <f t="shared" si="47"/>
        <v>#DIV/0!</v>
      </c>
      <c r="H162" s="4" t="e">
        <f t="shared" si="48"/>
        <v>#DIV/0!</v>
      </c>
      <c r="I162" s="4" t="e">
        <f t="shared" si="49"/>
        <v>#DIV/0!</v>
      </c>
      <c r="J162" s="4" t="e">
        <f t="shared" si="51"/>
        <v>#DIV/0!</v>
      </c>
      <c r="K162" s="4" t="e">
        <f t="shared" si="52"/>
        <v>#DIV/0!</v>
      </c>
      <c r="L162" s="14" t="e">
        <f t="shared" si="53"/>
        <v>#DIV/0!</v>
      </c>
      <c r="R162" s="72"/>
      <c r="S162" s="72"/>
      <c r="T162" s="41" t="s">
        <v>181</v>
      </c>
    </row>
    <row r="163" spans="1:20" x14ac:dyDescent="0.35">
      <c r="A163" s="4">
        <v>17</v>
      </c>
      <c r="B163" s="14" t="s">
        <v>172</v>
      </c>
      <c r="C163" s="4" t="e">
        <f t="shared" si="50"/>
        <v>#DIV/0!</v>
      </c>
      <c r="D163" s="4" t="e">
        <f t="shared" si="44"/>
        <v>#DIV/0!</v>
      </c>
      <c r="E163" s="4" t="e">
        <f t="shared" si="45"/>
        <v>#DIV/0!</v>
      </c>
      <c r="F163" s="4" t="e">
        <f t="shared" si="46"/>
        <v>#DIV/0!</v>
      </c>
      <c r="G163" s="4" t="e">
        <f t="shared" si="47"/>
        <v>#DIV/0!</v>
      </c>
      <c r="H163" s="4" t="e">
        <f t="shared" si="48"/>
        <v>#DIV/0!</v>
      </c>
      <c r="I163" s="4" t="e">
        <f t="shared" si="49"/>
        <v>#DIV/0!</v>
      </c>
      <c r="J163" s="4" t="e">
        <f t="shared" si="51"/>
        <v>#DIV/0!</v>
      </c>
      <c r="K163" s="4" t="e">
        <f t="shared" si="52"/>
        <v>#DIV/0!</v>
      </c>
      <c r="L163" s="14" t="e">
        <f t="shared" si="53"/>
        <v>#DIV/0!</v>
      </c>
      <c r="R163" s="72"/>
      <c r="S163" s="72"/>
      <c r="T163" s="41" t="s">
        <v>227</v>
      </c>
    </row>
    <row r="164" spans="1:20" x14ac:dyDescent="0.35">
      <c r="A164" s="4">
        <v>18</v>
      </c>
      <c r="B164" s="14" t="s">
        <v>175</v>
      </c>
      <c r="C164" s="4" t="e">
        <f t="shared" si="50"/>
        <v>#DIV/0!</v>
      </c>
      <c r="D164" s="4" t="e">
        <f t="shared" si="44"/>
        <v>#DIV/0!</v>
      </c>
      <c r="E164" s="4" t="e">
        <f t="shared" si="45"/>
        <v>#DIV/0!</v>
      </c>
      <c r="F164" s="4" t="e">
        <f t="shared" si="46"/>
        <v>#DIV/0!</v>
      </c>
      <c r="G164" s="4" t="e">
        <f t="shared" si="47"/>
        <v>#DIV/0!</v>
      </c>
      <c r="H164" s="4" t="e">
        <f t="shared" si="48"/>
        <v>#DIV/0!</v>
      </c>
      <c r="I164" s="4" t="e">
        <f t="shared" si="49"/>
        <v>#DIV/0!</v>
      </c>
      <c r="J164" s="4" t="e">
        <f t="shared" si="51"/>
        <v>#DIV/0!</v>
      </c>
      <c r="K164" s="4" t="e">
        <f t="shared" si="52"/>
        <v>#DIV/0!</v>
      </c>
      <c r="L164" s="14" t="e">
        <f t="shared" si="53"/>
        <v>#DIV/0!</v>
      </c>
      <c r="R164" s="72"/>
      <c r="S164" s="72"/>
      <c r="T164" s="41" t="s">
        <v>253</v>
      </c>
    </row>
    <row r="165" spans="1:20" x14ac:dyDescent="0.35">
      <c r="A165" s="4">
        <v>19</v>
      </c>
      <c r="B165" s="14" t="s">
        <v>178</v>
      </c>
      <c r="C165" s="4" t="e">
        <f t="shared" si="50"/>
        <v>#DIV/0!</v>
      </c>
      <c r="D165" s="4" t="e">
        <f t="shared" si="44"/>
        <v>#DIV/0!</v>
      </c>
      <c r="E165" s="4" t="e">
        <f t="shared" si="45"/>
        <v>#DIV/0!</v>
      </c>
      <c r="F165" s="4" t="e">
        <f t="shared" si="46"/>
        <v>#DIV/0!</v>
      </c>
      <c r="G165" s="4" t="e">
        <f t="shared" si="47"/>
        <v>#DIV/0!</v>
      </c>
      <c r="H165" s="4" t="e">
        <f t="shared" si="48"/>
        <v>#DIV/0!</v>
      </c>
      <c r="I165" s="4" t="e">
        <f t="shared" si="49"/>
        <v>#DIV/0!</v>
      </c>
      <c r="J165" s="4" t="e">
        <f t="shared" si="51"/>
        <v>#DIV/0!</v>
      </c>
      <c r="K165" s="4" t="e">
        <f t="shared" si="52"/>
        <v>#DIV/0!</v>
      </c>
      <c r="L165" s="14" t="e">
        <f t="shared" si="53"/>
        <v>#DIV/0!</v>
      </c>
      <c r="R165" s="72"/>
      <c r="S165" s="72"/>
      <c r="T165" s="41" t="s">
        <v>226</v>
      </c>
    </row>
    <row r="166" spans="1:20" x14ac:dyDescent="0.35">
      <c r="A166" s="4">
        <v>20</v>
      </c>
      <c r="B166" s="14" t="s">
        <v>181</v>
      </c>
      <c r="C166" s="4" t="e">
        <f t="shared" si="50"/>
        <v>#DIV/0!</v>
      </c>
      <c r="D166" s="4" t="e">
        <f t="shared" si="44"/>
        <v>#DIV/0!</v>
      </c>
      <c r="E166" s="4" t="e">
        <f t="shared" si="45"/>
        <v>#DIV/0!</v>
      </c>
      <c r="F166" s="4" t="e">
        <f t="shared" si="46"/>
        <v>#DIV/0!</v>
      </c>
      <c r="G166" s="4" t="e">
        <f t="shared" si="47"/>
        <v>#DIV/0!</v>
      </c>
      <c r="H166" s="4" t="e">
        <f t="shared" si="48"/>
        <v>#DIV/0!</v>
      </c>
      <c r="I166" s="4" t="e">
        <f t="shared" si="49"/>
        <v>#DIV/0!</v>
      </c>
      <c r="J166" s="4" t="e">
        <f t="shared" si="51"/>
        <v>#DIV/0!</v>
      </c>
      <c r="K166" s="4" t="e">
        <f t="shared" si="52"/>
        <v>#DIV/0!</v>
      </c>
      <c r="L166" s="14" t="e">
        <f t="shared" si="53"/>
        <v>#DIV/0!</v>
      </c>
      <c r="R166" s="72" t="s">
        <v>184</v>
      </c>
      <c r="S166" s="72">
        <v>4</v>
      </c>
      <c r="T166" s="41" t="s">
        <v>140</v>
      </c>
    </row>
    <row r="167" spans="1:20" x14ac:dyDescent="0.35">
      <c r="A167" s="4">
        <v>21</v>
      </c>
      <c r="B167" s="14" t="s">
        <v>227</v>
      </c>
      <c r="C167" s="4" t="e">
        <f t="shared" si="50"/>
        <v>#DIV/0!</v>
      </c>
      <c r="D167" s="4" t="e">
        <f t="shared" si="44"/>
        <v>#DIV/0!</v>
      </c>
      <c r="E167" s="4" t="e">
        <f t="shared" si="45"/>
        <v>#DIV/0!</v>
      </c>
      <c r="F167" s="4" t="e">
        <f t="shared" si="46"/>
        <v>#DIV/0!</v>
      </c>
      <c r="G167" s="4" t="e">
        <f t="shared" si="47"/>
        <v>#DIV/0!</v>
      </c>
      <c r="H167" s="4" t="e">
        <f t="shared" si="48"/>
        <v>#DIV/0!</v>
      </c>
      <c r="I167" s="4" t="e">
        <f t="shared" si="49"/>
        <v>#DIV/0!</v>
      </c>
      <c r="J167" s="4" t="e">
        <f t="shared" si="51"/>
        <v>#DIV/0!</v>
      </c>
      <c r="K167" s="4" t="e">
        <f t="shared" si="52"/>
        <v>#DIV/0!</v>
      </c>
      <c r="L167" s="14" t="e">
        <f t="shared" si="53"/>
        <v>#DIV/0!</v>
      </c>
      <c r="R167" s="72"/>
      <c r="S167" s="72"/>
      <c r="T167" s="41" t="s">
        <v>149</v>
      </c>
    </row>
    <row r="168" spans="1:20" x14ac:dyDescent="0.35">
      <c r="A168" s="4">
        <v>22</v>
      </c>
      <c r="B168" s="14" t="s">
        <v>224</v>
      </c>
      <c r="C168" s="4" t="e">
        <f t="shared" si="50"/>
        <v>#DIV/0!</v>
      </c>
      <c r="D168" s="4" t="e">
        <f t="shared" si="44"/>
        <v>#DIV/0!</v>
      </c>
      <c r="E168" s="4" t="e">
        <f t="shared" si="45"/>
        <v>#DIV/0!</v>
      </c>
      <c r="F168" s="4" t="e">
        <f t="shared" si="46"/>
        <v>#DIV/0!</v>
      </c>
      <c r="G168" s="4" t="e">
        <f t="shared" si="47"/>
        <v>#DIV/0!</v>
      </c>
      <c r="H168" s="4" t="e">
        <f t="shared" si="48"/>
        <v>#DIV/0!</v>
      </c>
      <c r="I168" s="4" t="e">
        <f t="shared" si="49"/>
        <v>#DIV/0!</v>
      </c>
      <c r="J168" s="4" t="e">
        <f t="shared" si="51"/>
        <v>#DIV/0!</v>
      </c>
      <c r="K168" s="4" t="e">
        <f t="shared" si="52"/>
        <v>#DIV/0!</v>
      </c>
      <c r="L168" s="14" t="e">
        <f t="shared" si="53"/>
        <v>#DIV/0!</v>
      </c>
      <c r="R168" s="72"/>
      <c r="S168" s="72"/>
      <c r="T168" s="41" t="s">
        <v>160</v>
      </c>
    </row>
    <row r="169" spans="1:20" x14ac:dyDescent="0.35">
      <c r="A169" s="4">
        <v>23</v>
      </c>
      <c r="B169" s="14" t="s">
        <v>248</v>
      </c>
      <c r="C169" s="4" t="e">
        <f t="shared" si="50"/>
        <v>#DIV/0!</v>
      </c>
      <c r="D169" s="4" t="e">
        <f t="shared" si="44"/>
        <v>#DIV/0!</v>
      </c>
      <c r="E169" s="4" t="e">
        <f t="shared" si="45"/>
        <v>#DIV/0!</v>
      </c>
      <c r="F169" s="4" t="e">
        <f t="shared" si="46"/>
        <v>#DIV/0!</v>
      </c>
      <c r="G169" s="4" t="e">
        <f t="shared" si="47"/>
        <v>#DIV/0!</v>
      </c>
      <c r="H169" s="4" t="e">
        <f t="shared" si="48"/>
        <v>#DIV/0!</v>
      </c>
      <c r="I169" s="4" t="e">
        <f t="shared" si="49"/>
        <v>#DIV/0!</v>
      </c>
      <c r="J169" s="4" t="e">
        <f t="shared" si="51"/>
        <v>#DIV/0!</v>
      </c>
      <c r="K169" s="4" t="e">
        <f t="shared" si="52"/>
        <v>#DIV/0!</v>
      </c>
      <c r="L169" s="14" t="e">
        <f>J169^2</f>
        <v>#DIV/0!</v>
      </c>
      <c r="R169" s="106"/>
      <c r="S169" s="106"/>
      <c r="T169" s="41" t="s">
        <v>163</v>
      </c>
    </row>
    <row r="170" spans="1:20" x14ac:dyDescent="0.35">
      <c r="A170" s="4">
        <v>24</v>
      </c>
      <c r="B170" s="14" t="s">
        <v>226</v>
      </c>
      <c r="C170" s="4" t="e">
        <f t="shared" si="50"/>
        <v>#DIV/0!</v>
      </c>
      <c r="D170" s="4" t="e">
        <f t="shared" si="44"/>
        <v>#DIV/0!</v>
      </c>
      <c r="E170" s="4" t="e">
        <f t="shared" si="45"/>
        <v>#DIV/0!</v>
      </c>
      <c r="F170" s="4" t="e">
        <f t="shared" si="46"/>
        <v>#DIV/0!</v>
      </c>
      <c r="G170" s="4" t="e">
        <f t="shared" si="47"/>
        <v>#DIV/0!</v>
      </c>
      <c r="H170" s="4" t="e">
        <f t="shared" si="48"/>
        <v>#DIV/0!</v>
      </c>
      <c r="I170" s="4" t="e">
        <f t="shared" si="49"/>
        <v>#DIV/0!</v>
      </c>
      <c r="J170" s="4" t="e">
        <f t="shared" si="51"/>
        <v>#DIV/0!</v>
      </c>
      <c r="K170" s="4" t="e">
        <f t="shared" si="52"/>
        <v>#DIV/0!</v>
      </c>
      <c r="L170" s="14" t="e">
        <f t="shared" ref="L170:L171" si="54">J170^2</f>
        <v>#DIV/0!</v>
      </c>
      <c r="R170" s="4" t="s">
        <v>185</v>
      </c>
      <c r="S170" s="4">
        <v>1</v>
      </c>
      <c r="T170" s="4" t="s">
        <v>143</v>
      </c>
    </row>
    <row r="171" spans="1:20" x14ac:dyDescent="0.35">
      <c r="A171" s="4">
        <v>25</v>
      </c>
      <c r="B171" s="14" t="s">
        <v>225</v>
      </c>
      <c r="C171" s="4" t="e">
        <f t="shared" si="50"/>
        <v>#DIV/0!</v>
      </c>
      <c r="D171" s="4" t="e">
        <f t="shared" si="44"/>
        <v>#DIV/0!</v>
      </c>
      <c r="E171" s="4" t="e">
        <f t="shared" si="45"/>
        <v>#DIV/0!</v>
      </c>
      <c r="F171" s="4" t="e">
        <f t="shared" si="46"/>
        <v>#DIV/0!</v>
      </c>
      <c r="G171" s="4" t="e">
        <f t="shared" si="47"/>
        <v>#DIV/0!</v>
      </c>
      <c r="H171" s="4" t="e">
        <f t="shared" si="48"/>
        <v>#DIV/0!</v>
      </c>
      <c r="I171" s="4" t="e">
        <f t="shared" si="49"/>
        <v>#DIV/0!</v>
      </c>
      <c r="J171" s="4" t="e">
        <f t="shared" si="51"/>
        <v>#DIV/0!</v>
      </c>
      <c r="K171" s="4" t="e">
        <f t="shared" si="52"/>
        <v>#DIV/0!</v>
      </c>
      <c r="L171" s="14" t="e">
        <f t="shared" si="54"/>
        <v>#DIV/0!</v>
      </c>
    </row>
  </sheetData>
  <mergeCells count="36">
    <mergeCell ref="R166:R169"/>
    <mergeCell ref="S166:S169"/>
    <mergeCell ref="R153:R154"/>
    <mergeCell ref="S153:S154"/>
    <mergeCell ref="R155:R156"/>
    <mergeCell ref="S155:S156"/>
    <mergeCell ref="R158:R165"/>
    <mergeCell ref="S158:S165"/>
    <mergeCell ref="R127:R130"/>
    <mergeCell ref="S127:S130"/>
    <mergeCell ref="R146:R152"/>
    <mergeCell ref="S146:S152"/>
    <mergeCell ref="R114:R115"/>
    <mergeCell ref="S114:S115"/>
    <mergeCell ref="R116:R117"/>
    <mergeCell ref="S116:S117"/>
    <mergeCell ref="R119:R126"/>
    <mergeCell ref="S119:S126"/>
    <mergeCell ref="A134:R134"/>
    <mergeCell ref="A145:M145"/>
    <mergeCell ref="S107:S113"/>
    <mergeCell ref="S87:S90"/>
    <mergeCell ref="T87:T90"/>
    <mergeCell ref="S67:S72"/>
    <mergeCell ref="T67:T72"/>
    <mergeCell ref="T73:T74"/>
    <mergeCell ref="S73:S74"/>
    <mergeCell ref="S75:S76"/>
    <mergeCell ref="T75:T76"/>
    <mergeCell ref="S78:S86"/>
    <mergeCell ref="T78:T86"/>
    <mergeCell ref="A56:R56"/>
    <mergeCell ref="A66:M66"/>
    <mergeCell ref="A95:R95"/>
    <mergeCell ref="A106:M106"/>
    <mergeCell ref="R107:R1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81014-E117-4F47-87FA-C24A0FBA4CC7}">
  <dimension ref="A1:Y239"/>
  <sheetViews>
    <sheetView topLeftCell="A170" zoomScale="17" workbookViewId="0">
      <selection activeCell="A188" sqref="A188:M239"/>
    </sheetView>
  </sheetViews>
  <sheetFormatPr defaultRowHeight="14.5" x14ac:dyDescent="0.35"/>
  <sheetData>
    <row r="1" spans="1:25" x14ac:dyDescent="0.35">
      <c r="A1" s="45" t="s">
        <v>105</v>
      </c>
      <c r="B1" s="45" t="s">
        <v>106</v>
      </c>
      <c r="C1" s="45" t="s">
        <v>107</v>
      </c>
      <c r="D1" s="45" t="s">
        <v>108</v>
      </c>
      <c r="E1" s="45" t="s">
        <v>109</v>
      </c>
      <c r="F1" s="45" t="s">
        <v>110</v>
      </c>
      <c r="G1" s="45" t="s">
        <v>111</v>
      </c>
      <c r="H1" s="45" t="s">
        <v>112</v>
      </c>
      <c r="I1" s="45" t="s">
        <v>113</v>
      </c>
      <c r="J1" s="45" t="s">
        <v>114</v>
      </c>
      <c r="K1" s="45" t="s">
        <v>115</v>
      </c>
      <c r="L1" s="45" t="s">
        <v>116</v>
      </c>
      <c r="M1" s="45" t="s">
        <v>117</v>
      </c>
      <c r="N1" s="45" t="s">
        <v>118</v>
      </c>
      <c r="O1" s="45" t="s">
        <v>119</v>
      </c>
      <c r="P1" s="45" t="s">
        <v>120</v>
      </c>
      <c r="Q1" s="45" t="s">
        <v>121</v>
      </c>
      <c r="R1" s="45" t="s">
        <v>122</v>
      </c>
      <c r="S1" s="45" t="s">
        <v>123</v>
      </c>
      <c r="T1" s="45" t="s">
        <v>124</v>
      </c>
      <c r="U1" s="45" t="s">
        <v>125</v>
      </c>
      <c r="V1" s="45" t="s">
        <v>126</v>
      </c>
      <c r="W1" s="45" t="s">
        <v>127</v>
      </c>
      <c r="X1" s="45" t="s">
        <v>128</v>
      </c>
      <c r="Y1" s="57" t="s">
        <v>129</v>
      </c>
    </row>
    <row r="2" spans="1:25" x14ac:dyDescent="0.35">
      <c r="A2" s="44">
        <v>46050.262193344897</v>
      </c>
      <c r="B2" s="14" t="s">
        <v>130</v>
      </c>
      <c r="C2" s="14" t="s">
        <v>131</v>
      </c>
      <c r="D2" s="14">
        <v>3.8</v>
      </c>
      <c r="E2" s="14">
        <v>7</v>
      </c>
      <c r="F2" s="14">
        <v>3</v>
      </c>
      <c r="G2" s="14">
        <v>2</v>
      </c>
      <c r="H2" s="14">
        <v>2</v>
      </c>
      <c r="I2" s="14">
        <v>2</v>
      </c>
      <c r="J2" s="14">
        <v>2</v>
      </c>
      <c r="K2" s="14">
        <v>3</v>
      </c>
      <c r="L2" s="14">
        <v>2</v>
      </c>
      <c r="M2" s="14">
        <v>3</v>
      </c>
      <c r="N2" s="14">
        <v>2</v>
      </c>
      <c r="O2" s="14">
        <v>3</v>
      </c>
      <c r="P2" s="14">
        <v>3</v>
      </c>
      <c r="Q2" s="14">
        <v>2</v>
      </c>
      <c r="R2" s="14">
        <v>2</v>
      </c>
      <c r="S2" s="14">
        <v>120</v>
      </c>
      <c r="T2" s="14">
        <v>2</v>
      </c>
      <c r="U2" s="14">
        <v>2</v>
      </c>
      <c r="V2" s="14">
        <v>3</v>
      </c>
      <c r="W2" s="14">
        <v>2</v>
      </c>
      <c r="X2" s="14" t="s">
        <v>132</v>
      </c>
      <c r="Y2" s="14" t="s">
        <v>133</v>
      </c>
    </row>
    <row r="3" spans="1:25" x14ac:dyDescent="0.35">
      <c r="A3" s="44">
        <v>46050.26299427083</v>
      </c>
      <c r="B3" s="14" t="s">
        <v>134</v>
      </c>
      <c r="C3" s="14" t="s">
        <v>135</v>
      </c>
      <c r="D3" s="14">
        <v>3.7</v>
      </c>
      <c r="E3" s="14">
        <v>7</v>
      </c>
      <c r="F3" s="14">
        <v>3</v>
      </c>
      <c r="G3" s="14">
        <v>2</v>
      </c>
      <c r="H3" s="14">
        <v>3</v>
      </c>
      <c r="I3" s="14">
        <v>2</v>
      </c>
      <c r="J3" s="14">
        <v>3</v>
      </c>
      <c r="K3" s="14">
        <v>2</v>
      </c>
      <c r="L3" s="14">
        <v>2</v>
      </c>
      <c r="M3" s="14">
        <v>3</v>
      </c>
      <c r="N3" s="14">
        <v>2</v>
      </c>
      <c r="O3" s="14">
        <v>2</v>
      </c>
      <c r="P3" s="14">
        <v>2</v>
      </c>
      <c r="Q3" s="14">
        <v>3</v>
      </c>
      <c r="R3" s="14">
        <v>2</v>
      </c>
      <c r="S3" s="14">
        <v>120</v>
      </c>
      <c r="T3" s="14">
        <v>3</v>
      </c>
      <c r="U3" s="14">
        <v>3</v>
      </c>
      <c r="V3" s="14">
        <v>3</v>
      </c>
      <c r="W3" s="14">
        <v>2</v>
      </c>
      <c r="X3" s="14" t="s">
        <v>136</v>
      </c>
      <c r="Y3" s="14" t="s">
        <v>133</v>
      </c>
    </row>
    <row r="4" spans="1:25" x14ac:dyDescent="0.35">
      <c r="A4" s="44">
        <v>46050.264810138891</v>
      </c>
      <c r="B4" s="14" t="s">
        <v>241</v>
      </c>
      <c r="C4" s="14" t="s">
        <v>242</v>
      </c>
      <c r="D4" s="14">
        <v>3.5</v>
      </c>
      <c r="E4" s="14">
        <v>7</v>
      </c>
      <c r="F4" s="14">
        <v>2</v>
      </c>
      <c r="G4" s="14">
        <v>3</v>
      </c>
      <c r="H4" s="14">
        <v>3</v>
      </c>
      <c r="I4" s="14">
        <v>2</v>
      </c>
      <c r="J4" s="14">
        <v>3</v>
      </c>
      <c r="K4" s="14">
        <v>2</v>
      </c>
      <c r="L4" s="14">
        <v>3</v>
      </c>
      <c r="M4" s="14">
        <v>3</v>
      </c>
      <c r="N4" s="14">
        <v>2</v>
      </c>
      <c r="O4" s="14">
        <v>3</v>
      </c>
      <c r="P4" s="14">
        <v>2</v>
      </c>
      <c r="Q4" s="14">
        <v>3</v>
      </c>
      <c r="R4" s="14">
        <v>2</v>
      </c>
      <c r="S4" s="14">
        <v>120</v>
      </c>
      <c r="T4" s="14">
        <v>3</v>
      </c>
      <c r="U4" s="14">
        <v>3</v>
      </c>
      <c r="V4" s="14">
        <v>2</v>
      </c>
      <c r="W4" s="14">
        <v>3</v>
      </c>
      <c r="X4" s="14" t="s">
        <v>243</v>
      </c>
      <c r="Y4" s="14" t="s">
        <v>133</v>
      </c>
    </row>
    <row r="5" spans="1:25" x14ac:dyDescent="0.35">
      <c r="A5" s="44">
        <v>46050.281735092591</v>
      </c>
      <c r="B5" s="14" t="s">
        <v>244</v>
      </c>
      <c r="C5" s="14" t="s">
        <v>245</v>
      </c>
      <c r="D5" s="14">
        <v>3.7</v>
      </c>
      <c r="E5" s="14">
        <v>5</v>
      </c>
      <c r="F5" s="14">
        <v>3</v>
      </c>
      <c r="G5" s="14">
        <v>2</v>
      </c>
      <c r="H5" s="14">
        <v>3</v>
      </c>
      <c r="I5" s="14">
        <v>2</v>
      </c>
      <c r="J5" s="14">
        <v>3</v>
      </c>
      <c r="K5" s="14">
        <v>2</v>
      </c>
      <c r="L5" s="14">
        <v>2</v>
      </c>
      <c r="M5" s="14">
        <v>2</v>
      </c>
      <c r="N5" s="14">
        <v>3</v>
      </c>
      <c r="O5" s="14">
        <v>2</v>
      </c>
      <c r="P5" s="14">
        <v>3</v>
      </c>
      <c r="Q5" s="14">
        <v>2</v>
      </c>
      <c r="R5" s="14">
        <v>2</v>
      </c>
      <c r="S5" s="14">
        <v>120</v>
      </c>
      <c r="T5" s="14">
        <v>2</v>
      </c>
      <c r="U5" s="14">
        <v>2</v>
      </c>
      <c r="V5" s="14">
        <v>3</v>
      </c>
      <c r="W5" s="14">
        <v>2</v>
      </c>
      <c r="X5" s="14" t="s">
        <v>246</v>
      </c>
      <c r="Y5" s="14" t="s">
        <v>133</v>
      </c>
    </row>
    <row r="6" spans="1:25" x14ac:dyDescent="0.35">
      <c r="A6" s="44">
        <v>46050.283431493059</v>
      </c>
      <c r="B6" s="14" t="s">
        <v>137</v>
      </c>
      <c r="C6" s="14" t="s">
        <v>138</v>
      </c>
      <c r="D6" s="14">
        <v>3.8</v>
      </c>
      <c r="E6" s="14">
        <v>7</v>
      </c>
      <c r="F6" s="14">
        <v>2</v>
      </c>
      <c r="G6" s="14">
        <v>2</v>
      </c>
      <c r="H6" s="14">
        <v>2</v>
      </c>
      <c r="I6" s="14">
        <v>3</v>
      </c>
      <c r="J6" s="14">
        <v>2</v>
      </c>
      <c r="K6" s="14">
        <v>2</v>
      </c>
      <c r="L6" s="14">
        <v>2</v>
      </c>
      <c r="M6" s="14">
        <v>2</v>
      </c>
      <c r="N6" s="14">
        <v>2</v>
      </c>
      <c r="O6" s="14">
        <v>3</v>
      </c>
      <c r="P6" s="14">
        <v>2</v>
      </c>
      <c r="Q6" s="14">
        <v>2</v>
      </c>
      <c r="R6" s="14">
        <v>2</v>
      </c>
      <c r="S6" s="14">
        <v>122</v>
      </c>
      <c r="T6" s="14">
        <v>2</v>
      </c>
      <c r="U6" s="14">
        <v>2</v>
      </c>
      <c r="V6" s="14">
        <v>2</v>
      </c>
      <c r="W6" s="14">
        <v>3</v>
      </c>
      <c r="X6" s="14" t="s">
        <v>139</v>
      </c>
      <c r="Y6" s="14" t="s">
        <v>133</v>
      </c>
    </row>
    <row r="7" spans="1:25" x14ac:dyDescent="0.35">
      <c r="A7" s="44">
        <v>46050.284407905092</v>
      </c>
      <c r="B7" s="14" t="s">
        <v>140</v>
      </c>
      <c r="C7" s="14" t="s">
        <v>141</v>
      </c>
      <c r="D7" s="14">
        <v>3.7</v>
      </c>
      <c r="E7" s="14">
        <v>7</v>
      </c>
      <c r="F7" s="14">
        <v>2</v>
      </c>
      <c r="G7" s="14">
        <v>2</v>
      </c>
      <c r="H7" s="14">
        <v>3</v>
      </c>
      <c r="I7" s="14">
        <v>2</v>
      </c>
      <c r="J7" s="14">
        <v>3</v>
      </c>
      <c r="K7" s="14">
        <v>2</v>
      </c>
      <c r="L7" s="14">
        <v>2</v>
      </c>
      <c r="M7" s="14">
        <v>2</v>
      </c>
      <c r="N7" s="14">
        <v>2</v>
      </c>
      <c r="O7" s="14">
        <v>2</v>
      </c>
      <c r="P7" s="14">
        <v>3</v>
      </c>
      <c r="Q7" s="14">
        <v>3</v>
      </c>
      <c r="R7" s="14">
        <v>2</v>
      </c>
      <c r="S7" s="14">
        <v>119</v>
      </c>
      <c r="T7" s="14">
        <v>3</v>
      </c>
      <c r="U7" s="14">
        <v>3</v>
      </c>
      <c r="V7" s="14">
        <v>2</v>
      </c>
      <c r="W7" s="14">
        <v>2</v>
      </c>
      <c r="X7" s="14" t="s">
        <v>142</v>
      </c>
      <c r="Y7" s="14" t="s">
        <v>133</v>
      </c>
    </row>
    <row r="8" spans="1:25" x14ac:dyDescent="0.35">
      <c r="A8" s="44">
        <v>46050.287067893521</v>
      </c>
      <c r="B8" s="14" t="s">
        <v>143</v>
      </c>
      <c r="C8" s="14" t="s">
        <v>144</v>
      </c>
      <c r="D8" s="14">
        <v>3.7</v>
      </c>
      <c r="E8" s="14">
        <v>7</v>
      </c>
      <c r="F8" s="14">
        <v>3</v>
      </c>
      <c r="G8" s="14">
        <v>2</v>
      </c>
      <c r="H8" s="14">
        <v>3</v>
      </c>
      <c r="I8" s="14">
        <v>2</v>
      </c>
      <c r="J8" s="14">
        <v>3</v>
      </c>
      <c r="K8" s="14">
        <v>2</v>
      </c>
      <c r="L8" s="14">
        <v>3</v>
      </c>
      <c r="M8" s="14">
        <v>2</v>
      </c>
      <c r="N8" s="14">
        <v>3</v>
      </c>
      <c r="O8" s="14">
        <v>2</v>
      </c>
      <c r="P8" s="14">
        <v>2</v>
      </c>
      <c r="Q8" s="14">
        <v>2</v>
      </c>
      <c r="R8" s="14">
        <v>2</v>
      </c>
      <c r="S8" s="14">
        <v>120</v>
      </c>
      <c r="T8" s="14">
        <v>2</v>
      </c>
      <c r="U8" s="14">
        <v>3</v>
      </c>
      <c r="V8" s="14">
        <v>2</v>
      </c>
      <c r="W8" s="14">
        <v>2</v>
      </c>
      <c r="X8" s="14" t="s">
        <v>145</v>
      </c>
      <c r="Y8" s="14" t="s">
        <v>133</v>
      </c>
    </row>
    <row r="9" spans="1:25" x14ac:dyDescent="0.35">
      <c r="A9" s="44">
        <v>46050.288233969914</v>
      </c>
      <c r="B9" s="14" t="s">
        <v>146</v>
      </c>
      <c r="C9" s="14" t="s">
        <v>147</v>
      </c>
      <c r="D9" s="14">
        <v>3.6</v>
      </c>
      <c r="E9" s="14">
        <v>7</v>
      </c>
      <c r="F9" s="14">
        <v>2</v>
      </c>
      <c r="G9" s="14">
        <v>2</v>
      </c>
      <c r="H9" s="14">
        <v>2</v>
      </c>
      <c r="I9" s="14">
        <v>2</v>
      </c>
      <c r="J9" s="14">
        <v>2</v>
      </c>
      <c r="K9" s="14">
        <v>2</v>
      </c>
      <c r="L9" s="14">
        <v>3</v>
      </c>
      <c r="M9" s="14">
        <v>2</v>
      </c>
      <c r="N9" s="14">
        <v>2</v>
      </c>
      <c r="O9" s="14">
        <v>2</v>
      </c>
      <c r="P9" s="14">
        <v>2</v>
      </c>
      <c r="Q9" s="14">
        <v>3</v>
      </c>
      <c r="R9" s="14">
        <v>2</v>
      </c>
      <c r="S9" s="14">
        <v>119</v>
      </c>
      <c r="T9" s="14">
        <v>2</v>
      </c>
      <c r="U9" s="14">
        <v>2</v>
      </c>
      <c r="V9" s="14">
        <v>2</v>
      </c>
      <c r="W9" s="14">
        <v>2</v>
      </c>
      <c r="X9" s="14" t="s">
        <v>148</v>
      </c>
      <c r="Y9" s="14" t="s">
        <v>133</v>
      </c>
    </row>
    <row r="10" spans="1:25" x14ac:dyDescent="0.35">
      <c r="A10" s="44">
        <v>46050.290445219907</v>
      </c>
      <c r="B10" s="14" t="s">
        <v>149</v>
      </c>
      <c r="C10" s="14" t="s">
        <v>11</v>
      </c>
      <c r="D10" s="14">
        <v>3.8</v>
      </c>
      <c r="E10" s="14">
        <v>7</v>
      </c>
      <c r="F10" s="14">
        <v>2</v>
      </c>
      <c r="G10" s="14">
        <v>3</v>
      </c>
      <c r="H10" s="14">
        <v>3</v>
      </c>
      <c r="I10" s="14">
        <v>2</v>
      </c>
      <c r="J10" s="14">
        <v>3</v>
      </c>
      <c r="K10" s="14">
        <v>2</v>
      </c>
      <c r="L10" s="14">
        <v>2</v>
      </c>
      <c r="M10" s="14">
        <v>2</v>
      </c>
      <c r="N10" s="14">
        <v>3</v>
      </c>
      <c r="O10" s="14">
        <v>2</v>
      </c>
      <c r="P10" s="14">
        <v>2</v>
      </c>
      <c r="Q10" s="14">
        <v>3</v>
      </c>
      <c r="R10" s="14">
        <v>2</v>
      </c>
      <c r="S10" s="14">
        <v>120</v>
      </c>
      <c r="T10" s="14">
        <v>3</v>
      </c>
      <c r="U10" s="14">
        <v>3</v>
      </c>
      <c r="V10" s="14">
        <v>2</v>
      </c>
      <c r="W10" s="14">
        <v>2</v>
      </c>
      <c r="X10" s="14" t="s">
        <v>150</v>
      </c>
      <c r="Y10" s="14" t="s">
        <v>133</v>
      </c>
    </row>
    <row r="11" spans="1:25" x14ac:dyDescent="0.35">
      <c r="A11" s="44">
        <v>46050.291332025467</v>
      </c>
      <c r="B11" s="14" t="s">
        <v>151</v>
      </c>
      <c r="C11" s="14" t="s">
        <v>152</v>
      </c>
      <c r="D11" s="14">
        <v>3.7</v>
      </c>
      <c r="E11" s="14">
        <v>7</v>
      </c>
      <c r="F11" s="14">
        <v>3</v>
      </c>
      <c r="G11" s="14">
        <v>2</v>
      </c>
      <c r="H11" s="14">
        <v>2</v>
      </c>
      <c r="I11" s="14">
        <v>3</v>
      </c>
      <c r="J11" s="14">
        <v>2</v>
      </c>
      <c r="K11" s="14">
        <v>2</v>
      </c>
      <c r="L11" s="14">
        <v>2</v>
      </c>
      <c r="M11" s="14">
        <v>3</v>
      </c>
      <c r="N11" s="14">
        <v>2</v>
      </c>
      <c r="O11" s="14">
        <v>3</v>
      </c>
      <c r="P11" s="14">
        <v>2</v>
      </c>
      <c r="Q11" s="14">
        <v>2</v>
      </c>
      <c r="R11" s="14">
        <v>2</v>
      </c>
      <c r="S11" s="14">
        <v>119</v>
      </c>
      <c r="T11" s="14">
        <v>2</v>
      </c>
      <c r="U11" s="14">
        <v>2</v>
      </c>
      <c r="V11" s="14">
        <v>3</v>
      </c>
      <c r="W11" s="14">
        <v>3</v>
      </c>
      <c r="X11" s="14" t="s">
        <v>153</v>
      </c>
      <c r="Y11" s="14" t="s">
        <v>133</v>
      </c>
    </row>
    <row r="12" spans="1:25" x14ac:dyDescent="0.35">
      <c r="A12" s="44">
        <v>46051.331695856483</v>
      </c>
      <c r="B12" s="14" t="s">
        <v>154</v>
      </c>
      <c r="C12" s="14" t="s">
        <v>155</v>
      </c>
      <c r="D12" s="14">
        <v>3.5</v>
      </c>
      <c r="E12" s="14">
        <v>7</v>
      </c>
      <c r="F12" s="14">
        <v>2</v>
      </c>
      <c r="G12" s="14">
        <v>2</v>
      </c>
      <c r="H12" s="14">
        <v>2</v>
      </c>
      <c r="I12" s="14">
        <v>2</v>
      </c>
      <c r="J12" s="14">
        <v>2</v>
      </c>
      <c r="K12" s="14">
        <v>2</v>
      </c>
      <c r="L12" s="14">
        <v>2</v>
      </c>
      <c r="M12" s="14">
        <v>2</v>
      </c>
      <c r="N12" s="14">
        <v>3</v>
      </c>
      <c r="O12" s="14">
        <v>2</v>
      </c>
      <c r="P12" s="14">
        <v>3</v>
      </c>
      <c r="Q12" s="14">
        <v>2</v>
      </c>
      <c r="R12" s="14">
        <v>3</v>
      </c>
      <c r="S12" s="14">
        <v>119</v>
      </c>
      <c r="T12" s="14">
        <v>2</v>
      </c>
      <c r="U12" s="14">
        <v>2</v>
      </c>
      <c r="V12" s="14">
        <v>2</v>
      </c>
      <c r="W12" s="14">
        <v>3</v>
      </c>
      <c r="X12" s="14" t="s">
        <v>156</v>
      </c>
      <c r="Y12" s="14" t="s">
        <v>133</v>
      </c>
    </row>
    <row r="13" spans="1:25" x14ac:dyDescent="0.35">
      <c r="A13" s="44">
        <v>46058.48975453704</v>
      </c>
      <c r="B13" s="14" t="s">
        <v>157</v>
      </c>
      <c r="C13" s="14" t="s">
        <v>158</v>
      </c>
      <c r="D13" s="14">
        <v>3.8</v>
      </c>
      <c r="E13" s="14">
        <v>7</v>
      </c>
      <c r="F13" s="14">
        <v>3</v>
      </c>
      <c r="G13" s="14">
        <v>3</v>
      </c>
      <c r="H13" s="14">
        <v>2</v>
      </c>
      <c r="I13" s="14">
        <v>3</v>
      </c>
      <c r="J13" s="14">
        <v>2</v>
      </c>
      <c r="K13" s="14">
        <v>3</v>
      </c>
      <c r="L13" s="14">
        <v>2</v>
      </c>
      <c r="M13" s="14">
        <v>3</v>
      </c>
      <c r="N13" s="14">
        <v>2</v>
      </c>
      <c r="O13" s="14">
        <v>2</v>
      </c>
      <c r="P13" s="14">
        <v>3</v>
      </c>
      <c r="Q13" s="14">
        <v>2</v>
      </c>
      <c r="R13" s="14">
        <v>2</v>
      </c>
      <c r="S13" s="14">
        <v>122</v>
      </c>
      <c r="T13" s="14">
        <v>2</v>
      </c>
      <c r="U13" s="14">
        <v>2</v>
      </c>
      <c r="V13" s="14">
        <v>3</v>
      </c>
      <c r="W13" s="14">
        <v>2</v>
      </c>
      <c r="X13" s="14" t="s">
        <v>159</v>
      </c>
      <c r="Y13" s="14" t="s">
        <v>133</v>
      </c>
    </row>
    <row r="14" spans="1:25" x14ac:dyDescent="0.35">
      <c r="A14" s="44">
        <v>46058.503878784722</v>
      </c>
      <c r="B14" s="14" t="s">
        <v>160</v>
      </c>
      <c r="C14" s="14" t="s">
        <v>161</v>
      </c>
      <c r="D14" s="14">
        <v>3.7</v>
      </c>
      <c r="E14" s="14">
        <v>7</v>
      </c>
      <c r="F14" s="14">
        <v>2</v>
      </c>
      <c r="G14" s="14">
        <v>2</v>
      </c>
      <c r="H14" s="14">
        <v>3</v>
      </c>
      <c r="I14" s="14">
        <v>2</v>
      </c>
      <c r="J14" s="14">
        <v>3</v>
      </c>
      <c r="K14" s="14">
        <v>3</v>
      </c>
      <c r="L14" s="14">
        <v>2</v>
      </c>
      <c r="M14" s="14">
        <v>2</v>
      </c>
      <c r="N14" s="14">
        <v>2</v>
      </c>
      <c r="O14" s="14">
        <v>2</v>
      </c>
      <c r="P14" s="14">
        <v>3</v>
      </c>
      <c r="Q14" s="14">
        <v>3</v>
      </c>
      <c r="R14" s="14">
        <v>2</v>
      </c>
      <c r="S14" s="14">
        <v>119</v>
      </c>
      <c r="T14" s="14">
        <v>3</v>
      </c>
      <c r="U14" s="14">
        <v>3</v>
      </c>
      <c r="V14" s="14">
        <v>2</v>
      </c>
      <c r="W14" s="14">
        <v>2</v>
      </c>
      <c r="X14" s="14" t="s">
        <v>162</v>
      </c>
      <c r="Y14" s="14" t="s">
        <v>133</v>
      </c>
    </row>
    <row r="15" spans="1:25" x14ac:dyDescent="0.35">
      <c r="A15" s="44">
        <v>46058.508931064818</v>
      </c>
      <c r="B15" s="14" t="s">
        <v>163</v>
      </c>
      <c r="C15" s="14" t="s">
        <v>164</v>
      </c>
      <c r="D15" s="14">
        <v>3.6</v>
      </c>
      <c r="E15" s="14">
        <v>7</v>
      </c>
      <c r="F15" s="14">
        <v>2</v>
      </c>
      <c r="G15" s="14">
        <v>2</v>
      </c>
      <c r="H15" s="14">
        <v>3</v>
      </c>
      <c r="I15" s="14">
        <v>2</v>
      </c>
      <c r="J15" s="14">
        <v>3</v>
      </c>
      <c r="K15" s="14">
        <v>2</v>
      </c>
      <c r="L15" s="14">
        <v>2</v>
      </c>
      <c r="M15" s="14">
        <v>2</v>
      </c>
      <c r="N15" s="14">
        <v>2</v>
      </c>
      <c r="O15" s="14">
        <v>2</v>
      </c>
      <c r="P15" s="14">
        <v>2</v>
      </c>
      <c r="Q15" s="14">
        <v>3</v>
      </c>
      <c r="R15" s="14">
        <v>2</v>
      </c>
      <c r="S15" s="14">
        <v>120</v>
      </c>
      <c r="T15" s="14">
        <v>3</v>
      </c>
      <c r="U15" s="14">
        <v>3</v>
      </c>
      <c r="V15" s="14">
        <v>2</v>
      </c>
      <c r="W15" s="14">
        <v>2</v>
      </c>
      <c r="X15" s="14" t="s">
        <v>165</v>
      </c>
      <c r="Y15" s="14" t="s">
        <v>133</v>
      </c>
    </row>
    <row r="16" spans="1:25" x14ac:dyDescent="0.35">
      <c r="A16" s="44">
        <v>46058.509829618059</v>
      </c>
      <c r="B16" s="14" t="s">
        <v>166</v>
      </c>
      <c r="C16" s="14" t="s">
        <v>167</v>
      </c>
      <c r="D16" s="14">
        <v>3.5</v>
      </c>
      <c r="E16" s="14">
        <v>7</v>
      </c>
      <c r="F16" s="14">
        <v>2</v>
      </c>
      <c r="G16" s="14">
        <v>2</v>
      </c>
      <c r="H16" s="14">
        <v>2</v>
      </c>
      <c r="I16" s="14">
        <v>2</v>
      </c>
      <c r="J16" s="14">
        <v>2</v>
      </c>
      <c r="K16" s="14">
        <v>2</v>
      </c>
      <c r="L16" s="14">
        <v>2</v>
      </c>
      <c r="M16" s="14">
        <v>2</v>
      </c>
      <c r="N16" s="14">
        <v>2</v>
      </c>
      <c r="O16" s="14">
        <v>2</v>
      </c>
      <c r="P16" s="14">
        <v>2</v>
      </c>
      <c r="Q16" s="14">
        <v>2</v>
      </c>
      <c r="R16" s="14">
        <v>2</v>
      </c>
      <c r="S16" s="14">
        <v>119</v>
      </c>
      <c r="T16" s="14">
        <v>2</v>
      </c>
      <c r="U16" s="14">
        <v>2</v>
      </c>
      <c r="V16" s="14">
        <v>2</v>
      </c>
      <c r="W16" s="14">
        <v>2</v>
      </c>
      <c r="X16" s="14" t="s">
        <v>168</v>
      </c>
      <c r="Y16" s="14" t="s">
        <v>133</v>
      </c>
    </row>
    <row r="17" spans="1:25" x14ac:dyDescent="0.35">
      <c r="A17" s="44">
        <v>46058.510758530087</v>
      </c>
      <c r="B17" s="14" t="s">
        <v>169</v>
      </c>
      <c r="C17" s="14" t="s">
        <v>170</v>
      </c>
      <c r="D17" s="14">
        <v>3.7</v>
      </c>
      <c r="E17" s="14">
        <v>8</v>
      </c>
      <c r="F17" s="14">
        <v>2</v>
      </c>
      <c r="G17" s="14">
        <v>2</v>
      </c>
      <c r="H17" s="14">
        <v>2</v>
      </c>
      <c r="I17" s="14">
        <v>2</v>
      </c>
      <c r="J17" s="14">
        <v>2</v>
      </c>
      <c r="K17" s="14">
        <v>3</v>
      </c>
      <c r="L17" s="14">
        <v>3</v>
      </c>
      <c r="M17" s="14">
        <v>2</v>
      </c>
      <c r="N17" s="14">
        <v>2</v>
      </c>
      <c r="O17" s="14">
        <v>2</v>
      </c>
      <c r="P17" s="14">
        <v>3</v>
      </c>
      <c r="Q17" s="14">
        <v>2</v>
      </c>
      <c r="R17" s="14">
        <v>3</v>
      </c>
      <c r="S17" s="14">
        <v>121</v>
      </c>
      <c r="T17" s="14">
        <v>2</v>
      </c>
      <c r="U17" s="14">
        <v>3</v>
      </c>
      <c r="V17" s="14">
        <v>2</v>
      </c>
      <c r="W17" s="14">
        <v>2</v>
      </c>
      <c r="X17" s="14" t="s">
        <v>171</v>
      </c>
      <c r="Y17" s="14" t="s">
        <v>133</v>
      </c>
    </row>
    <row r="18" spans="1:25" x14ac:dyDescent="0.35">
      <c r="A18" s="44">
        <v>46058.514247094907</v>
      </c>
      <c r="B18" s="14" t="s">
        <v>172</v>
      </c>
      <c r="C18" s="14" t="s">
        <v>173</v>
      </c>
      <c r="D18" s="14">
        <v>3.8</v>
      </c>
      <c r="E18" s="14">
        <v>7</v>
      </c>
      <c r="F18" s="14">
        <v>3</v>
      </c>
      <c r="G18" s="14">
        <v>3</v>
      </c>
      <c r="H18" s="14">
        <v>2</v>
      </c>
      <c r="I18" s="14">
        <v>2</v>
      </c>
      <c r="J18" s="14">
        <v>2</v>
      </c>
      <c r="K18" s="14">
        <v>2</v>
      </c>
      <c r="L18" s="14">
        <v>2</v>
      </c>
      <c r="M18" s="14">
        <v>3</v>
      </c>
      <c r="N18" s="14">
        <v>3</v>
      </c>
      <c r="O18" s="14">
        <v>2</v>
      </c>
      <c r="P18" s="14">
        <v>2</v>
      </c>
      <c r="Q18" s="14">
        <v>2</v>
      </c>
      <c r="R18" s="14">
        <v>2</v>
      </c>
      <c r="S18" s="14">
        <v>119</v>
      </c>
      <c r="T18" s="14">
        <v>2</v>
      </c>
      <c r="U18" s="14">
        <v>2</v>
      </c>
      <c r="V18" s="14">
        <v>3</v>
      </c>
      <c r="W18" s="14">
        <v>2</v>
      </c>
      <c r="X18" s="14" t="s">
        <v>174</v>
      </c>
      <c r="Y18" s="14" t="s">
        <v>133</v>
      </c>
    </row>
    <row r="19" spans="1:25" x14ac:dyDescent="0.35">
      <c r="A19" s="44">
        <v>46058.515278969913</v>
      </c>
      <c r="B19" s="14" t="s">
        <v>175</v>
      </c>
      <c r="C19" s="14" t="s">
        <v>176</v>
      </c>
      <c r="D19" s="14">
        <v>3.7</v>
      </c>
      <c r="E19" s="14">
        <v>8</v>
      </c>
      <c r="F19" s="14">
        <v>2</v>
      </c>
      <c r="G19" s="14">
        <v>2</v>
      </c>
      <c r="H19" s="14">
        <v>3</v>
      </c>
      <c r="I19" s="14">
        <v>3</v>
      </c>
      <c r="J19" s="14">
        <v>3</v>
      </c>
      <c r="K19" s="14">
        <v>2</v>
      </c>
      <c r="L19" s="14">
        <v>2</v>
      </c>
      <c r="M19" s="14">
        <v>2</v>
      </c>
      <c r="N19" s="14">
        <v>2</v>
      </c>
      <c r="O19" s="14">
        <v>3</v>
      </c>
      <c r="P19" s="14">
        <v>2</v>
      </c>
      <c r="Q19" s="14">
        <v>3</v>
      </c>
      <c r="R19" s="14">
        <v>2</v>
      </c>
      <c r="S19" s="14">
        <v>119</v>
      </c>
      <c r="T19" s="14">
        <v>3</v>
      </c>
      <c r="U19" s="14">
        <v>3</v>
      </c>
      <c r="V19" s="14">
        <v>2</v>
      </c>
      <c r="W19" s="14">
        <v>3</v>
      </c>
      <c r="X19" s="14" t="s">
        <v>177</v>
      </c>
      <c r="Y19" s="14" t="s">
        <v>133</v>
      </c>
    </row>
    <row r="20" spans="1:25" x14ac:dyDescent="0.35">
      <c r="A20" s="44">
        <v>46058.516692974539</v>
      </c>
      <c r="B20" s="14" t="s">
        <v>178</v>
      </c>
      <c r="C20" s="14" t="s">
        <v>179</v>
      </c>
      <c r="D20" s="14">
        <v>3.6</v>
      </c>
      <c r="E20" s="14">
        <v>7</v>
      </c>
      <c r="F20" s="14">
        <v>3</v>
      </c>
      <c r="G20" s="14">
        <v>2</v>
      </c>
      <c r="H20" s="14">
        <v>2</v>
      </c>
      <c r="I20" s="14">
        <v>2</v>
      </c>
      <c r="J20" s="14">
        <v>2</v>
      </c>
      <c r="K20" s="14">
        <v>3</v>
      </c>
      <c r="L20" s="14">
        <v>2</v>
      </c>
      <c r="M20" s="14">
        <v>3</v>
      </c>
      <c r="N20" s="14">
        <v>2</v>
      </c>
      <c r="O20" s="14">
        <v>2</v>
      </c>
      <c r="P20" s="14">
        <v>3</v>
      </c>
      <c r="Q20" s="14">
        <v>2</v>
      </c>
      <c r="R20" s="14">
        <v>2</v>
      </c>
      <c r="S20" s="14">
        <v>120</v>
      </c>
      <c r="T20" s="14">
        <v>2</v>
      </c>
      <c r="U20" s="14">
        <v>2</v>
      </c>
      <c r="V20" s="14">
        <v>3</v>
      </c>
      <c r="W20" s="14">
        <v>2</v>
      </c>
      <c r="X20" s="14" t="s">
        <v>180</v>
      </c>
      <c r="Y20" s="14" t="s">
        <v>133</v>
      </c>
    </row>
    <row r="21" spans="1:25" x14ac:dyDescent="0.35">
      <c r="A21" s="44">
        <v>46058.517446296297</v>
      </c>
      <c r="B21" s="14" t="s">
        <v>181</v>
      </c>
      <c r="C21" s="14" t="s">
        <v>182</v>
      </c>
      <c r="D21" s="14">
        <v>3.3</v>
      </c>
      <c r="E21" s="14">
        <v>9</v>
      </c>
      <c r="F21" s="14">
        <v>2</v>
      </c>
      <c r="G21" s="14">
        <v>2</v>
      </c>
      <c r="H21" s="14">
        <v>2</v>
      </c>
      <c r="I21" s="14">
        <v>2</v>
      </c>
      <c r="J21" s="14">
        <v>2</v>
      </c>
      <c r="K21" s="14">
        <v>2</v>
      </c>
      <c r="L21" s="14">
        <v>2</v>
      </c>
      <c r="M21" s="14">
        <v>2</v>
      </c>
      <c r="N21" s="14">
        <v>2</v>
      </c>
      <c r="O21" s="14">
        <v>2</v>
      </c>
      <c r="P21" s="14">
        <v>2</v>
      </c>
      <c r="Q21" s="14">
        <v>2</v>
      </c>
      <c r="R21" s="14">
        <v>2</v>
      </c>
      <c r="S21" s="14">
        <v>120</v>
      </c>
      <c r="T21" s="14">
        <v>2</v>
      </c>
      <c r="U21" s="14">
        <v>2</v>
      </c>
      <c r="V21" s="14">
        <v>2</v>
      </c>
      <c r="W21" s="14">
        <v>2</v>
      </c>
      <c r="X21" s="14" t="s">
        <v>183</v>
      </c>
      <c r="Y21" s="14" t="s">
        <v>133</v>
      </c>
    </row>
    <row r="22" spans="1:25" x14ac:dyDescent="0.35">
      <c r="A22" s="44">
        <v>46061.415234699067</v>
      </c>
      <c r="B22" s="14" t="s">
        <v>227</v>
      </c>
      <c r="C22" s="14" t="s">
        <v>210</v>
      </c>
      <c r="D22" s="14">
        <v>3.3</v>
      </c>
      <c r="E22" s="14">
        <v>7</v>
      </c>
      <c r="F22" s="14">
        <v>2</v>
      </c>
      <c r="G22" s="14">
        <v>1</v>
      </c>
      <c r="H22" s="14">
        <v>2</v>
      </c>
      <c r="I22" s="14">
        <v>2</v>
      </c>
      <c r="J22" s="14">
        <v>1</v>
      </c>
      <c r="K22" s="14">
        <v>2</v>
      </c>
      <c r="L22" s="14">
        <v>2</v>
      </c>
      <c r="M22" s="14">
        <v>2</v>
      </c>
      <c r="N22" s="14">
        <v>1</v>
      </c>
      <c r="O22" s="14">
        <v>2</v>
      </c>
      <c r="P22" s="14">
        <v>2</v>
      </c>
      <c r="Q22" s="14">
        <v>2</v>
      </c>
      <c r="R22" s="14">
        <v>1</v>
      </c>
      <c r="S22" s="14">
        <v>118</v>
      </c>
      <c r="T22" s="14">
        <v>2</v>
      </c>
      <c r="U22" s="14">
        <v>1</v>
      </c>
      <c r="V22" s="14">
        <v>2</v>
      </c>
      <c r="W22" s="14">
        <v>1</v>
      </c>
      <c r="X22" s="14" t="s">
        <v>183</v>
      </c>
      <c r="Y22" s="14" t="s">
        <v>133</v>
      </c>
    </row>
    <row r="23" spans="1:25" x14ac:dyDescent="0.35">
      <c r="A23" s="44">
        <v>46061.420793113422</v>
      </c>
      <c r="B23" s="14" t="s">
        <v>224</v>
      </c>
      <c r="C23" s="14" t="s">
        <v>213</v>
      </c>
      <c r="D23" s="14">
        <v>3.4</v>
      </c>
      <c r="E23" s="14">
        <v>7</v>
      </c>
      <c r="F23" s="14">
        <v>3</v>
      </c>
      <c r="G23" s="14">
        <v>2</v>
      </c>
      <c r="H23" s="14">
        <v>2</v>
      </c>
      <c r="I23" s="14">
        <v>2</v>
      </c>
      <c r="J23" s="14">
        <v>2</v>
      </c>
      <c r="K23" s="14">
        <v>2</v>
      </c>
      <c r="L23" s="14">
        <v>1</v>
      </c>
      <c r="M23" s="14">
        <v>3</v>
      </c>
      <c r="N23" s="14">
        <v>2</v>
      </c>
      <c r="O23" s="14">
        <v>2</v>
      </c>
      <c r="P23" s="14">
        <v>2</v>
      </c>
      <c r="Q23" s="14">
        <v>2</v>
      </c>
      <c r="R23" s="14">
        <v>1</v>
      </c>
      <c r="S23" s="14">
        <v>120</v>
      </c>
      <c r="T23" s="14">
        <v>2</v>
      </c>
      <c r="U23" s="14">
        <v>2</v>
      </c>
      <c r="V23" s="14">
        <v>3</v>
      </c>
      <c r="W23" s="14">
        <v>2</v>
      </c>
      <c r="X23" s="14" t="s">
        <v>247</v>
      </c>
      <c r="Y23" s="14" t="s">
        <v>133</v>
      </c>
    </row>
    <row r="24" spans="1:25" x14ac:dyDescent="0.35">
      <c r="A24" s="44">
        <v>46061.423281296287</v>
      </c>
      <c r="B24" s="14" t="s">
        <v>248</v>
      </c>
      <c r="C24" s="14" t="s">
        <v>216</v>
      </c>
      <c r="D24" s="14">
        <v>3.1</v>
      </c>
      <c r="E24" s="14">
        <v>8</v>
      </c>
      <c r="F24" s="14">
        <v>1</v>
      </c>
      <c r="G24" s="14">
        <v>2</v>
      </c>
      <c r="H24" s="14">
        <v>1</v>
      </c>
      <c r="I24" s="14">
        <v>2</v>
      </c>
      <c r="J24" s="14">
        <v>2</v>
      </c>
      <c r="K24" s="14">
        <v>1</v>
      </c>
      <c r="L24" s="14">
        <v>2</v>
      </c>
      <c r="M24" s="14">
        <v>2</v>
      </c>
      <c r="N24" s="14">
        <v>2</v>
      </c>
      <c r="O24" s="14">
        <v>1</v>
      </c>
      <c r="P24" s="14">
        <v>1</v>
      </c>
      <c r="Q24" s="14">
        <v>2</v>
      </c>
      <c r="R24" s="14">
        <v>2</v>
      </c>
      <c r="S24" s="14">
        <v>121</v>
      </c>
      <c r="T24" s="14">
        <v>1</v>
      </c>
      <c r="U24" s="14">
        <v>2</v>
      </c>
      <c r="V24" s="14">
        <v>2</v>
      </c>
      <c r="W24" s="14">
        <v>1</v>
      </c>
      <c r="X24" s="14" t="s">
        <v>217</v>
      </c>
      <c r="Y24" s="14" t="s">
        <v>133</v>
      </c>
    </row>
    <row r="25" spans="1:25" x14ac:dyDescent="0.35">
      <c r="A25" s="44">
        <v>46061.426495879627</v>
      </c>
      <c r="B25" s="14" t="s">
        <v>226</v>
      </c>
      <c r="C25" s="14" t="s">
        <v>219</v>
      </c>
      <c r="D25" s="14">
        <v>3.5</v>
      </c>
      <c r="E25" s="14">
        <v>8</v>
      </c>
      <c r="F25" s="14">
        <v>2</v>
      </c>
      <c r="G25" s="14">
        <v>3</v>
      </c>
      <c r="H25" s="14">
        <v>2</v>
      </c>
      <c r="I25" s="14">
        <v>2</v>
      </c>
      <c r="J25" s="14">
        <v>2</v>
      </c>
      <c r="K25" s="14">
        <v>2</v>
      </c>
      <c r="L25" s="14">
        <v>1</v>
      </c>
      <c r="M25" s="14">
        <v>2</v>
      </c>
      <c r="N25" s="14">
        <v>3</v>
      </c>
      <c r="O25" s="14">
        <v>2</v>
      </c>
      <c r="P25" s="14">
        <v>2</v>
      </c>
      <c r="Q25" s="14">
        <v>2</v>
      </c>
      <c r="R25" s="14">
        <v>1</v>
      </c>
      <c r="S25" s="14">
        <v>122</v>
      </c>
      <c r="T25" s="14">
        <v>2</v>
      </c>
      <c r="U25" s="14">
        <v>2</v>
      </c>
      <c r="V25" s="14">
        <v>2</v>
      </c>
      <c r="W25" s="14">
        <v>2</v>
      </c>
      <c r="X25" s="14" t="s">
        <v>249</v>
      </c>
      <c r="Y25" s="14" t="s">
        <v>133</v>
      </c>
    </row>
    <row r="26" spans="1:25" x14ac:dyDescent="0.35">
      <c r="A26" s="44">
        <v>46061.427963807873</v>
      </c>
      <c r="B26" s="14" t="s">
        <v>225</v>
      </c>
      <c r="C26" s="14" t="s">
        <v>222</v>
      </c>
      <c r="D26" s="14">
        <v>3.6</v>
      </c>
      <c r="E26" s="14">
        <v>9</v>
      </c>
      <c r="F26" s="14">
        <v>3</v>
      </c>
      <c r="G26" s="14">
        <v>2</v>
      </c>
      <c r="H26" s="14">
        <v>3</v>
      </c>
      <c r="I26" s="14">
        <v>2</v>
      </c>
      <c r="J26" s="14">
        <v>3</v>
      </c>
      <c r="K26" s="14">
        <v>2</v>
      </c>
      <c r="L26" s="14">
        <v>2</v>
      </c>
      <c r="M26" s="14">
        <v>3</v>
      </c>
      <c r="N26" s="14">
        <v>2</v>
      </c>
      <c r="O26" s="14">
        <v>2</v>
      </c>
      <c r="P26" s="14">
        <v>2</v>
      </c>
      <c r="Q26" s="14">
        <v>3</v>
      </c>
      <c r="R26" s="14">
        <v>2</v>
      </c>
      <c r="S26" s="14">
        <v>124</v>
      </c>
      <c r="T26" s="14">
        <v>3</v>
      </c>
      <c r="U26" s="14">
        <v>2</v>
      </c>
      <c r="V26" s="14">
        <v>3</v>
      </c>
      <c r="W26" s="14">
        <v>2</v>
      </c>
      <c r="X26" s="14" t="s">
        <v>250</v>
      </c>
      <c r="Y26" s="14" t="s">
        <v>133</v>
      </c>
    </row>
    <row r="27" spans="1:25" x14ac:dyDescent="0.35">
      <c r="A27" s="44">
        <v>46050.262193344897</v>
      </c>
      <c r="B27" s="14" t="s">
        <v>130</v>
      </c>
      <c r="C27" s="14" t="s">
        <v>131</v>
      </c>
      <c r="D27" s="14">
        <v>3.8</v>
      </c>
      <c r="E27" s="14">
        <v>7</v>
      </c>
      <c r="F27" s="14">
        <v>3</v>
      </c>
      <c r="G27" s="14">
        <v>2</v>
      </c>
      <c r="H27" s="14">
        <v>2</v>
      </c>
      <c r="I27" s="14">
        <v>2</v>
      </c>
      <c r="J27" s="14">
        <v>2</v>
      </c>
      <c r="K27" s="14">
        <v>3</v>
      </c>
      <c r="L27" s="14">
        <v>2</v>
      </c>
      <c r="M27" s="14">
        <v>3</v>
      </c>
      <c r="N27" s="14">
        <v>2</v>
      </c>
      <c r="O27" s="14">
        <v>3</v>
      </c>
      <c r="P27" s="14">
        <v>3</v>
      </c>
      <c r="Q27" s="14">
        <v>2</v>
      </c>
      <c r="R27" s="14">
        <v>2</v>
      </c>
      <c r="S27" s="14">
        <v>120</v>
      </c>
      <c r="T27" s="14">
        <v>2</v>
      </c>
      <c r="U27" s="14">
        <v>2</v>
      </c>
      <c r="V27" s="14">
        <v>3</v>
      </c>
      <c r="W27" s="14">
        <v>2</v>
      </c>
      <c r="X27" s="14" t="s">
        <v>132</v>
      </c>
      <c r="Y27" s="14" t="s">
        <v>133</v>
      </c>
    </row>
    <row r="28" spans="1:25" x14ac:dyDescent="0.35">
      <c r="A28" s="44">
        <v>46050.26299427083</v>
      </c>
      <c r="B28" s="14" t="s">
        <v>134</v>
      </c>
      <c r="C28" s="14" t="s">
        <v>135</v>
      </c>
      <c r="D28" s="14">
        <v>3.7</v>
      </c>
      <c r="E28" s="14">
        <v>7</v>
      </c>
      <c r="F28" s="14">
        <v>3</v>
      </c>
      <c r="G28" s="14">
        <v>2</v>
      </c>
      <c r="H28" s="14">
        <v>3</v>
      </c>
      <c r="I28" s="14">
        <v>2</v>
      </c>
      <c r="J28" s="14">
        <v>3</v>
      </c>
      <c r="K28" s="14">
        <v>2</v>
      </c>
      <c r="L28" s="14">
        <v>2</v>
      </c>
      <c r="M28" s="14">
        <v>3</v>
      </c>
      <c r="N28" s="14">
        <v>2</v>
      </c>
      <c r="O28" s="14">
        <v>2</v>
      </c>
      <c r="P28" s="14">
        <v>2</v>
      </c>
      <c r="Q28" s="14">
        <v>3</v>
      </c>
      <c r="R28" s="14">
        <v>2</v>
      </c>
      <c r="S28" s="14">
        <v>120</v>
      </c>
      <c r="T28" s="14">
        <v>3</v>
      </c>
      <c r="U28" s="14">
        <v>3</v>
      </c>
      <c r="V28" s="14">
        <v>3</v>
      </c>
      <c r="W28" s="14">
        <v>2</v>
      </c>
      <c r="X28" s="14" t="s">
        <v>136</v>
      </c>
      <c r="Y28" s="14" t="s">
        <v>133</v>
      </c>
    </row>
    <row r="29" spans="1:25" x14ac:dyDescent="0.35">
      <c r="A29" s="44">
        <v>46050.264810138891</v>
      </c>
      <c r="B29" s="14" t="s">
        <v>241</v>
      </c>
      <c r="C29" s="14" t="s">
        <v>242</v>
      </c>
      <c r="D29" s="14">
        <v>3.5</v>
      </c>
      <c r="E29" s="14">
        <v>7</v>
      </c>
      <c r="F29" s="14">
        <v>2</v>
      </c>
      <c r="G29" s="14">
        <v>3</v>
      </c>
      <c r="H29" s="14">
        <v>3</v>
      </c>
      <c r="I29" s="14">
        <v>2</v>
      </c>
      <c r="J29" s="14">
        <v>3</v>
      </c>
      <c r="K29" s="14">
        <v>2</v>
      </c>
      <c r="L29" s="14">
        <v>3</v>
      </c>
      <c r="M29" s="14">
        <v>3</v>
      </c>
      <c r="N29" s="14">
        <v>2</v>
      </c>
      <c r="O29" s="14">
        <v>3</v>
      </c>
      <c r="P29" s="14">
        <v>2</v>
      </c>
      <c r="Q29" s="14">
        <v>3</v>
      </c>
      <c r="R29" s="14">
        <v>2</v>
      </c>
      <c r="S29" s="14">
        <v>120</v>
      </c>
      <c r="T29" s="14">
        <v>3</v>
      </c>
      <c r="U29" s="14">
        <v>3</v>
      </c>
      <c r="V29" s="14">
        <v>2</v>
      </c>
      <c r="W29" s="14">
        <v>3</v>
      </c>
      <c r="X29" s="14" t="s">
        <v>243</v>
      </c>
      <c r="Y29" s="14" t="s">
        <v>133</v>
      </c>
    </row>
    <row r="30" spans="1:25" x14ac:dyDescent="0.35">
      <c r="A30" s="44">
        <v>46050.281735092591</v>
      </c>
      <c r="B30" s="14" t="s">
        <v>244</v>
      </c>
      <c r="C30" s="14" t="s">
        <v>245</v>
      </c>
      <c r="D30" s="14">
        <v>3.7</v>
      </c>
      <c r="E30" s="14">
        <v>5</v>
      </c>
      <c r="F30" s="14">
        <v>3</v>
      </c>
      <c r="G30" s="14">
        <v>2</v>
      </c>
      <c r="H30" s="14">
        <v>3</v>
      </c>
      <c r="I30" s="14">
        <v>2</v>
      </c>
      <c r="J30" s="14">
        <v>3</v>
      </c>
      <c r="K30" s="14">
        <v>2</v>
      </c>
      <c r="L30" s="14">
        <v>2</v>
      </c>
      <c r="M30" s="14">
        <v>2</v>
      </c>
      <c r="N30" s="14">
        <v>3</v>
      </c>
      <c r="O30" s="14">
        <v>2</v>
      </c>
      <c r="P30" s="14">
        <v>3</v>
      </c>
      <c r="Q30" s="14">
        <v>2</v>
      </c>
      <c r="R30" s="14">
        <v>2</v>
      </c>
      <c r="S30" s="14">
        <v>120</v>
      </c>
      <c r="T30" s="14">
        <v>2</v>
      </c>
      <c r="U30" s="14">
        <v>2</v>
      </c>
      <c r="V30" s="14">
        <v>3</v>
      </c>
      <c r="W30" s="14">
        <v>2</v>
      </c>
      <c r="X30" s="14" t="s">
        <v>246</v>
      </c>
      <c r="Y30" s="14" t="s">
        <v>133</v>
      </c>
    </row>
    <row r="31" spans="1:25" x14ac:dyDescent="0.35">
      <c r="A31" s="44">
        <v>46050.283431493059</v>
      </c>
      <c r="B31" s="14" t="s">
        <v>137</v>
      </c>
      <c r="C31" s="14" t="s">
        <v>138</v>
      </c>
      <c r="D31" s="14">
        <v>3.8</v>
      </c>
      <c r="E31" s="14">
        <v>7</v>
      </c>
      <c r="F31" s="14">
        <v>2</v>
      </c>
      <c r="G31" s="14">
        <v>2</v>
      </c>
      <c r="H31" s="14">
        <v>2</v>
      </c>
      <c r="I31" s="14">
        <v>3</v>
      </c>
      <c r="J31" s="14">
        <v>2</v>
      </c>
      <c r="K31" s="14">
        <v>2</v>
      </c>
      <c r="L31" s="14">
        <v>2</v>
      </c>
      <c r="M31" s="14">
        <v>2</v>
      </c>
      <c r="N31" s="14">
        <v>2</v>
      </c>
      <c r="O31" s="14">
        <v>3</v>
      </c>
      <c r="P31" s="14">
        <v>2</v>
      </c>
      <c r="Q31" s="14">
        <v>2</v>
      </c>
      <c r="R31" s="14">
        <v>2</v>
      </c>
      <c r="S31" s="14">
        <v>122</v>
      </c>
      <c r="T31" s="14">
        <v>2</v>
      </c>
      <c r="U31" s="14">
        <v>2</v>
      </c>
      <c r="V31" s="14">
        <v>2</v>
      </c>
      <c r="W31" s="14">
        <v>3</v>
      </c>
      <c r="X31" s="14" t="s">
        <v>139</v>
      </c>
      <c r="Y31" s="14" t="s">
        <v>133</v>
      </c>
    </row>
    <row r="32" spans="1:25" x14ac:dyDescent="0.35">
      <c r="A32" s="44">
        <v>46050.284407905092</v>
      </c>
      <c r="B32" s="14" t="s">
        <v>140</v>
      </c>
      <c r="C32" s="14" t="s">
        <v>141</v>
      </c>
      <c r="D32" s="14">
        <v>3.7</v>
      </c>
      <c r="E32" s="14">
        <v>7</v>
      </c>
      <c r="F32" s="14">
        <v>2</v>
      </c>
      <c r="G32" s="14">
        <v>2</v>
      </c>
      <c r="H32" s="14">
        <v>3</v>
      </c>
      <c r="I32" s="14">
        <v>2</v>
      </c>
      <c r="J32" s="14">
        <v>3</v>
      </c>
      <c r="K32" s="14">
        <v>2</v>
      </c>
      <c r="L32" s="14">
        <v>2</v>
      </c>
      <c r="M32" s="14">
        <v>2</v>
      </c>
      <c r="N32" s="14">
        <v>2</v>
      </c>
      <c r="O32" s="14">
        <v>2</v>
      </c>
      <c r="P32" s="14">
        <v>3</v>
      </c>
      <c r="Q32" s="14">
        <v>3</v>
      </c>
      <c r="R32" s="14">
        <v>2</v>
      </c>
      <c r="S32" s="14">
        <v>119</v>
      </c>
      <c r="T32" s="14">
        <v>3</v>
      </c>
      <c r="U32" s="14">
        <v>3</v>
      </c>
      <c r="V32" s="14">
        <v>2</v>
      </c>
      <c r="W32" s="14">
        <v>2</v>
      </c>
      <c r="X32" s="14" t="s">
        <v>142</v>
      </c>
      <c r="Y32" s="14" t="s">
        <v>133</v>
      </c>
    </row>
    <row r="33" spans="1:25" x14ac:dyDescent="0.35">
      <c r="A33" s="44">
        <v>46050.287067893521</v>
      </c>
      <c r="B33" s="14" t="s">
        <v>143</v>
      </c>
      <c r="C33" s="14" t="s">
        <v>144</v>
      </c>
      <c r="D33" s="14">
        <v>3.7</v>
      </c>
      <c r="E33" s="14">
        <v>7</v>
      </c>
      <c r="F33" s="14">
        <v>3</v>
      </c>
      <c r="G33" s="14">
        <v>2</v>
      </c>
      <c r="H33" s="14">
        <v>3</v>
      </c>
      <c r="I33" s="14">
        <v>2</v>
      </c>
      <c r="J33" s="14">
        <v>3</v>
      </c>
      <c r="K33" s="14">
        <v>2</v>
      </c>
      <c r="L33" s="14">
        <v>3</v>
      </c>
      <c r="M33" s="14">
        <v>2</v>
      </c>
      <c r="N33" s="14">
        <v>3</v>
      </c>
      <c r="O33" s="14">
        <v>2</v>
      </c>
      <c r="P33" s="14">
        <v>2</v>
      </c>
      <c r="Q33" s="14">
        <v>2</v>
      </c>
      <c r="R33" s="14">
        <v>2</v>
      </c>
      <c r="S33" s="14">
        <v>120</v>
      </c>
      <c r="T33" s="14">
        <v>2</v>
      </c>
      <c r="U33" s="14">
        <v>3</v>
      </c>
      <c r="V33" s="14">
        <v>2</v>
      </c>
      <c r="W33" s="14">
        <v>2</v>
      </c>
      <c r="X33" s="14" t="s">
        <v>145</v>
      </c>
      <c r="Y33" s="14" t="s">
        <v>133</v>
      </c>
    </row>
    <row r="34" spans="1:25" x14ac:dyDescent="0.35">
      <c r="A34" s="44">
        <v>46050.288233969914</v>
      </c>
      <c r="B34" s="14" t="s">
        <v>146</v>
      </c>
      <c r="C34" s="14" t="s">
        <v>147</v>
      </c>
      <c r="D34" s="14">
        <v>3.6</v>
      </c>
      <c r="E34" s="14">
        <v>7</v>
      </c>
      <c r="F34" s="14">
        <v>2</v>
      </c>
      <c r="G34" s="14">
        <v>2</v>
      </c>
      <c r="H34" s="14">
        <v>2</v>
      </c>
      <c r="I34" s="14">
        <v>2</v>
      </c>
      <c r="J34" s="14">
        <v>2</v>
      </c>
      <c r="K34" s="14">
        <v>2</v>
      </c>
      <c r="L34" s="14">
        <v>3</v>
      </c>
      <c r="M34" s="14">
        <v>2</v>
      </c>
      <c r="N34" s="14">
        <v>2</v>
      </c>
      <c r="O34" s="14">
        <v>2</v>
      </c>
      <c r="P34" s="14">
        <v>2</v>
      </c>
      <c r="Q34" s="14">
        <v>3</v>
      </c>
      <c r="R34" s="14">
        <v>2</v>
      </c>
      <c r="S34" s="14">
        <v>119</v>
      </c>
      <c r="T34" s="14">
        <v>2</v>
      </c>
      <c r="U34" s="14">
        <v>2</v>
      </c>
      <c r="V34" s="14">
        <v>2</v>
      </c>
      <c r="W34" s="14">
        <v>2</v>
      </c>
      <c r="X34" s="14" t="s">
        <v>148</v>
      </c>
      <c r="Y34" s="14" t="s">
        <v>133</v>
      </c>
    </row>
    <row r="35" spans="1:25" x14ac:dyDescent="0.35">
      <c r="A35" s="44">
        <v>46050.290445219907</v>
      </c>
      <c r="B35" s="14" t="s">
        <v>149</v>
      </c>
      <c r="C35" s="14" t="s">
        <v>11</v>
      </c>
      <c r="D35" s="14">
        <v>3.8</v>
      </c>
      <c r="E35" s="14">
        <v>7</v>
      </c>
      <c r="F35" s="14">
        <v>2</v>
      </c>
      <c r="G35" s="14">
        <v>3</v>
      </c>
      <c r="H35" s="14">
        <v>3</v>
      </c>
      <c r="I35" s="14">
        <v>2</v>
      </c>
      <c r="J35" s="14">
        <v>3</v>
      </c>
      <c r="K35" s="14">
        <v>2</v>
      </c>
      <c r="L35" s="14">
        <v>2</v>
      </c>
      <c r="M35" s="14">
        <v>2</v>
      </c>
      <c r="N35" s="14">
        <v>3</v>
      </c>
      <c r="O35" s="14">
        <v>2</v>
      </c>
      <c r="P35" s="14">
        <v>2</v>
      </c>
      <c r="Q35" s="14">
        <v>3</v>
      </c>
      <c r="R35" s="14">
        <v>2</v>
      </c>
      <c r="S35" s="14">
        <v>120</v>
      </c>
      <c r="T35" s="14">
        <v>3</v>
      </c>
      <c r="U35" s="14">
        <v>3</v>
      </c>
      <c r="V35" s="14">
        <v>2</v>
      </c>
      <c r="W35" s="14">
        <v>2</v>
      </c>
      <c r="X35" s="14" t="s">
        <v>150</v>
      </c>
      <c r="Y35" s="14" t="s">
        <v>133</v>
      </c>
    </row>
    <row r="36" spans="1:25" x14ac:dyDescent="0.35">
      <c r="A36" s="44">
        <v>46050.291332025467</v>
      </c>
      <c r="B36" s="14" t="s">
        <v>151</v>
      </c>
      <c r="C36" s="14" t="s">
        <v>152</v>
      </c>
      <c r="D36" s="14">
        <v>3.7</v>
      </c>
      <c r="E36" s="14">
        <v>7</v>
      </c>
      <c r="F36" s="14">
        <v>3</v>
      </c>
      <c r="G36" s="14">
        <v>2</v>
      </c>
      <c r="H36" s="14">
        <v>2</v>
      </c>
      <c r="I36" s="14">
        <v>3</v>
      </c>
      <c r="J36" s="14">
        <v>2</v>
      </c>
      <c r="K36" s="14">
        <v>2</v>
      </c>
      <c r="L36" s="14">
        <v>2</v>
      </c>
      <c r="M36" s="14">
        <v>3</v>
      </c>
      <c r="N36" s="14">
        <v>2</v>
      </c>
      <c r="O36" s="14">
        <v>3</v>
      </c>
      <c r="P36" s="14">
        <v>2</v>
      </c>
      <c r="Q36" s="14">
        <v>2</v>
      </c>
      <c r="R36" s="14">
        <v>2</v>
      </c>
      <c r="S36" s="14">
        <v>119</v>
      </c>
      <c r="T36" s="14">
        <v>2</v>
      </c>
      <c r="U36" s="14">
        <v>2</v>
      </c>
      <c r="V36" s="14">
        <v>3</v>
      </c>
      <c r="W36" s="14">
        <v>3</v>
      </c>
      <c r="X36" s="14" t="s">
        <v>153</v>
      </c>
      <c r="Y36" s="14" t="s">
        <v>133</v>
      </c>
    </row>
    <row r="37" spans="1:25" x14ac:dyDescent="0.35">
      <c r="A37" s="44">
        <v>46051.331695856483</v>
      </c>
      <c r="B37" s="14" t="s">
        <v>154</v>
      </c>
      <c r="C37" s="14" t="s">
        <v>155</v>
      </c>
      <c r="D37" s="14">
        <v>3.5</v>
      </c>
      <c r="E37" s="14">
        <v>7</v>
      </c>
      <c r="F37" s="14">
        <v>2</v>
      </c>
      <c r="G37" s="14">
        <v>2</v>
      </c>
      <c r="H37" s="14">
        <v>2</v>
      </c>
      <c r="I37" s="14">
        <v>2</v>
      </c>
      <c r="J37" s="14">
        <v>2</v>
      </c>
      <c r="K37" s="14">
        <v>2</v>
      </c>
      <c r="L37" s="14">
        <v>2</v>
      </c>
      <c r="M37" s="14">
        <v>2</v>
      </c>
      <c r="N37" s="14">
        <v>3</v>
      </c>
      <c r="O37" s="14">
        <v>2</v>
      </c>
      <c r="P37" s="14">
        <v>3</v>
      </c>
      <c r="Q37" s="14">
        <v>2</v>
      </c>
      <c r="R37" s="14">
        <v>3</v>
      </c>
      <c r="S37" s="14">
        <v>119</v>
      </c>
      <c r="T37" s="14">
        <v>2</v>
      </c>
      <c r="U37" s="14">
        <v>2</v>
      </c>
      <c r="V37" s="14">
        <v>2</v>
      </c>
      <c r="W37" s="14">
        <v>3</v>
      </c>
      <c r="X37" s="14" t="s">
        <v>156</v>
      </c>
      <c r="Y37" s="14" t="s">
        <v>133</v>
      </c>
    </row>
    <row r="38" spans="1:25" x14ac:dyDescent="0.35">
      <c r="A38" s="44">
        <v>46058.48975453704</v>
      </c>
      <c r="B38" s="14" t="s">
        <v>157</v>
      </c>
      <c r="C38" s="14" t="s">
        <v>158</v>
      </c>
      <c r="D38" s="14">
        <v>3.8</v>
      </c>
      <c r="E38" s="14">
        <v>7</v>
      </c>
      <c r="F38" s="14">
        <v>3</v>
      </c>
      <c r="G38" s="14">
        <v>3</v>
      </c>
      <c r="H38" s="14">
        <v>2</v>
      </c>
      <c r="I38" s="14">
        <v>3</v>
      </c>
      <c r="J38" s="14">
        <v>2</v>
      </c>
      <c r="K38" s="14">
        <v>3</v>
      </c>
      <c r="L38" s="14">
        <v>2</v>
      </c>
      <c r="M38" s="14">
        <v>3</v>
      </c>
      <c r="N38" s="14">
        <v>2</v>
      </c>
      <c r="O38" s="14">
        <v>2</v>
      </c>
      <c r="P38" s="14">
        <v>3</v>
      </c>
      <c r="Q38" s="14">
        <v>2</v>
      </c>
      <c r="R38" s="14">
        <v>2</v>
      </c>
      <c r="S38" s="14">
        <v>122</v>
      </c>
      <c r="T38" s="14">
        <v>2</v>
      </c>
      <c r="U38" s="14">
        <v>2</v>
      </c>
      <c r="V38" s="14">
        <v>3</v>
      </c>
      <c r="W38" s="14">
        <v>2</v>
      </c>
      <c r="X38" s="14" t="s">
        <v>159</v>
      </c>
      <c r="Y38" s="14" t="s">
        <v>133</v>
      </c>
    </row>
    <row r="39" spans="1:25" x14ac:dyDescent="0.35">
      <c r="A39" s="44">
        <v>46058.503878784722</v>
      </c>
      <c r="B39" s="14" t="s">
        <v>160</v>
      </c>
      <c r="C39" s="14" t="s">
        <v>161</v>
      </c>
      <c r="D39" s="14">
        <v>3.7</v>
      </c>
      <c r="E39" s="14">
        <v>7</v>
      </c>
      <c r="F39" s="14">
        <v>2</v>
      </c>
      <c r="G39" s="14">
        <v>2</v>
      </c>
      <c r="H39" s="14">
        <v>3</v>
      </c>
      <c r="I39" s="14">
        <v>2</v>
      </c>
      <c r="J39" s="14">
        <v>3</v>
      </c>
      <c r="K39" s="14">
        <v>3</v>
      </c>
      <c r="L39" s="14">
        <v>2</v>
      </c>
      <c r="M39" s="14">
        <v>2</v>
      </c>
      <c r="N39" s="14">
        <v>2</v>
      </c>
      <c r="O39" s="14">
        <v>2</v>
      </c>
      <c r="P39" s="14">
        <v>3</v>
      </c>
      <c r="Q39" s="14">
        <v>3</v>
      </c>
      <c r="R39" s="14">
        <v>2</v>
      </c>
      <c r="S39" s="14">
        <v>119</v>
      </c>
      <c r="T39" s="14">
        <v>3</v>
      </c>
      <c r="U39" s="14">
        <v>3</v>
      </c>
      <c r="V39" s="14">
        <v>2</v>
      </c>
      <c r="W39" s="14">
        <v>2</v>
      </c>
      <c r="X39" s="14" t="s">
        <v>162</v>
      </c>
      <c r="Y39" s="14" t="s">
        <v>133</v>
      </c>
    </row>
    <row r="40" spans="1:25" x14ac:dyDescent="0.35">
      <c r="A40" s="44">
        <v>46058.508931064818</v>
      </c>
      <c r="B40" s="14" t="s">
        <v>163</v>
      </c>
      <c r="C40" s="14" t="s">
        <v>164</v>
      </c>
      <c r="D40" s="14">
        <v>3.6</v>
      </c>
      <c r="E40" s="14">
        <v>7</v>
      </c>
      <c r="F40" s="14">
        <v>2</v>
      </c>
      <c r="G40" s="14">
        <v>2</v>
      </c>
      <c r="H40" s="14">
        <v>3</v>
      </c>
      <c r="I40" s="14">
        <v>2</v>
      </c>
      <c r="J40" s="14">
        <v>3</v>
      </c>
      <c r="K40" s="14">
        <v>2</v>
      </c>
      <c r="L40" s="14">
        <v>2</v>
      </c>
      <c r="M40" s="14">
        <v>2</v>
      </c>
      <c r="N40" s="14">
        <v>2</v>
      </c>
      <c r="O40" s="14">
        <v>2</v>
      </c>
      <c r="P40" s="14">
        <v>2</v>
      </c>
      <c r="Q40" s="14">
        <v>3</v>
      </c>
      <c r="R40" s="14">
        <v>2</v>
      </c>
      <c r="S40" s="14">
        <v>120</v>
      </c>
      <c r="T40" s="14">
        <v>3</v>
      </c>
      <c r="U40" s="14">
        <v>3</v>
      </c>
      <c r="V40" s="14">
        <v>2</v>
      </c>
      <c r="W40" s="14">
        <v>2</v>
      </c>
      <c r="X40" s="14" t="s">
        <v>165</v>
      </c>
      <c r="Y40" s="14" t="s">
        <v>133</v>
      </c>
    </row>
    <row r="41" spans="1:25" x14ac:dyDescent="0.35">
      <c r="A41" s="44">
        <v>46058.509829618059</v>
      </c>
      <c r="B41" s="14" t="s">
        <v>166</v>
      </c>
      <c r="C41" s="14" t="s">
        <v>167</v>
      </c>
      <c r="D41" s="14">
        <v>3.5</v>
      </c>
      <c r="E41" s="14">
        <v>7</v>
      </c>
      <c r="F41" s="14">
        <v>2</v>
      </c>
      <c r="G41" s="14">
        <v>2</v>
      </c>
      <c r="H41" s="14">
        <v>2</v>
      </c>
      <c r="I41" s="14">
        <v>2</v>
      </c>
      <c r="J41" s="14">
        <v>2</v>
      </c>
      <c r="K41" s="14">
        <v>2</v>
      </c>
      <c r="L41" s="14">
        <v>2</v>
      </c>
      <c r="M41" s="14">
        <v>2</v>
      </c>
      <c r="N41" s="14">
        <v>2</v>
      </c>
      <c r="O41" s="14">
        <v>2</v>
      </c>
      <c r="P41" s="14">
        <v>2</v>
      </c>
      <c r="Q41" s="14">
        <v>2</v>
      </c>
      <c r="R41" s="14">
        <v>2</v>
      </c>
      <c r="S41" s="14">
        <v>119</v>
      </c>
      <c r="T41" s="14">
        <v>2</v>
      </c>
      <c r="U41" s="14">
        <v>2</v>
      </c>
      <c r="V41" s="14">
        <v>2</v>
      </c>
      <c r="W41" s="14">
        <v>2</v>
      </c>
      <c r="X41" s="14" t="s">
        <v>168</v>
      </c>
      <c r="Y41" s="14" t="s">
        <v>133</v>
      </c>
    </row>
    <row r="42" spans="1:25" x14ac:dyDescent="0.35">
      <c r="A42" s="44">
        <v>46058.510758530087</v>
      </c>
      <c r="B42" s="14" t="s">
        <v>169</v>
      </c>
      <c r="C42" s="14" t="s">
        <v>170</v>
      </c>
      <c r="D42" s="14">
        <v>3.7</v>
      </c>
      <c r="E42" s="14">
        <v>8</v>
      </c>
      <c r="F42" s="14">
        <v>2</v>
      </c>
      <c r="G42" s="14">
        <v>2</v>
      </c>
      <c r="H42" s="14">
        <v>2</v>
      </c>
      <c r="I42" s="14">
        <v>2</v>
      </c>
      <c r="J42" s="14">
        <v>2</v>
      </c>
      <c r="K42" s="14">
        <v>3</v>
      </c>
      <c r="L42" s="14">
        <v>3</v>
      </c>
      <c r="M42" s="14">
        <v>2</v>
      </c>
      <c r="N42" s="14">
        <v>2</v>
      </c>
      <c r="O42" s="14">
        <v>2</v>
      </c>
      <c r="P42" s="14">
        <v>3</v>
      </c>
      <c r="Q42" s="14">
        <v>2</v>
      </c>
      <c r="R42" s="14">
        <v>3</v>
      </c>
      <c r="S42" s="14">
        <v>121</v>
      </c>
      <c r="T42" s="14">
        <v>2</v>
      </c>
      <c r="U42" s="14">
        <v>3</v>
      </c>
      <c r="V42" s="14">
        <v>2</v>
      </c>
      <c r="W42" s="14">
        <v>2</v>
      </c>
      <c r="X42" s="14" t="s">
        <v>171</v>
      </c>
      <c r="Y42" s="14" t="s">
        <v>133</v>
      </c>
    </row>
    <row r="43" spans="1:25" x14ac:dyDescent="0.35">
      <c r="A43" s="44">
        <v>46058.514247094907</v>
      </c>
      <c r="B43" s="14" t="s">
        <v>172</v>
      </c>
      <c r="C43" s="14" t="s">
        <v>173</v>
      </c>
      <c r="D43" s="14">
        <v>3.8</v>
      </c>
      <c r="E43" s="14">
        <v>7</v>
      </c>
      <c r="F43" s="14">
        <v>3</v>
      </c>
      <c r="G43" s="14">
        <v>3</v>
      </c>
      <c r="H43" s="14">
        <v>2</v>
      </c>
      <c r="I43" s="14">
        <v>2</v>
      </c>
      <c r="J43" s="14">
        <v>2</v>
      </c>
      <c r="K43" s="14">
        <v>2</v>
      </c>
      <c r="L43" s="14">
        <v>2</v>
      </c>
      <c r="M43" s="14">
        <v>3</v>
      </c>
      <c r="N43" s="14">
        <v>3</v>
      </c>
      <c r="O43" s="14">
        <v>2</v>
      </c>
      <c r="P43" s="14">
        <v>2</v>
      </c>
      <c r="Q43" s="14">
        <v>2</v>
      </c>
      <c r="R43" s="14">
        <v>2</v>
      </c>
      <c r="S43" s="14">
        <v>119</v>
      </c>
      <c r="T43" s="14">
        <v>2</v>
      </c>
      <c r="U43" s="14">
        <v>2</v>
      </c>
      <c r="V43" s="14">
        <v>3</v>
      </c>
      <c r="W43" s="14">
        <v>2</v>
      </c>
      <c r="X43" s="14" t="s">
        <v>174</v>
      </c>
      <c r="Y43" s="14" t="s">
        <v>133</v>
      </c>
    </row>
    <row r="44" spans="1:25" x14ac:dyDescent="0.35">
      <c r="A44" s="44">
        <v>46058.515278969913</v>
      </c>
      <c r="B44" s="14" t="s">
        <v>175</v>
      </c>
      <c r="C44" s="14" t="s">
        <v>176</v>
      </c>
      <c r="D44" s="14">
        <v>3.7</v>
      </c>
      <c r="E44" s="14">
        <v>8</v>
      </c>
      <c r="F44" s="14">
        <v>2</v>
      </c>
      <c r="G44" s="14">
        <v>2</v>
      </c>
      <c r="H44" s="14">
        <v>3</v>
      </c>
      <c r="I44" s="14">
        <v>3</v>
      </c>
      <c r="J44" s="14">
        <v>3</v>
      </c>
      <c r="K44" s="14">
        <v>2</v>
      </c>
      <c r="L44" s="14">
        <v>2</v>
      </c>
      <c r="M44" s="14">
        <v>2</v>
      </c>
      <c r="N44" s="14">
        <v>2</v>
      </c>
      <c r="O44" s="14">
        <v>3</v>
      </c>
      <c r="P44" s="14">
        <v>2</v>
      </c>
      <c r="Q44" s="14">
        <v>3</v>
      </c>
      <c r="R44" s="14">
        <v>2</v>
      </c>
      <c r="S44" s="14">
        <v>119</v>
      </c>
      <c r="T44" s="14">
        <v>3</v>
      </c>
      <c r="U44" s="14">
        <v>3</v>
      </c>
      <c r="V44" s="14">
        <v>2</v>
      </c>
      <c r="W44" s="14">
        <v>3</v>
      </c>
      <c r="X44" s="14" t="s">
        <v>177</v>
      </c>
      <c r="Y44" s="14" t="s">
        <v>133</v>
      </c>
    </row>
    <row r="45" spans="1:25" x14ac:dyDescent="0.35">
      <c r="A45" s="44">
        <v>46058.516692974539</v>
      </c>
      <c r="B45" s="14" t="s">
        <v>178</v>
      </c>
      <c r="C45" s="14" t="s">
        <v>179</v>
      </c>
      <c r="D45" s="14">
        <v>3.6</v>
      </c>
      <c r="E45" s="14">
        <v>7</v>
      </c>
      <c r="F45" s="14">
        <v>3</v>
      </c>
      <c r="G45" s="14">
        <v>2</v>
      </c>
      <c r="H45" s="14">
        <v>2</v>
      </c>
      <c r="I45" s="14">
        <v>2</v>
      </c>
      <c r="J45" s="14">
        <v>2</v>
      </c>
      <c r="K45" s="14">
        <v>3</v>
      </c>
      <c r="L45" s="14">
        <v>2</v>
      </c>
      <c r="M45" s="14">
        <v>3</v>
      </c>
      <c r="N45" s="14">
        <v>2</v>
      </c>
      <c r="O45" s="14">
        <v>2</v>
      </c>
      <c r="P45" s="14">
        <v>3</v>
      </c>
      <c r="Q45" s="14">
        <v>2</v>
      </c>
      <c r="R45" s="14">
        <v>2</v>
      </c>
      <c r="S45" s="14">
        <v>120</v>
      </c>
      <c r="T45" s="14">
        <v>2</v>
      </c>
      <c r="U45" s="14">
        <v>2</v>
      </c>
      <c r="V45" s="14">
        <v>3</v>
      </c>
      <c r="W45" s="14">
        <v>2</v>
      </c>
      <c r="X45" s="14" t="s">
        <v>180</v>
      </c>
      <c r="Y45" s="14" t="s">
        <v>133</v>
      </c>
    </row>
    <row r="46" spans="1:25" x14ac:dyDescent="0.35">
      <c r="A46" s="44">
        <v>46058.517446296297</v>
      </c>
      <c r="B46" s="14" t="s">
        <v>181</v>
      </c>
      <c r="C46" s="14" t="s">
        <v>182</v>
      </c>
      <c r="D46" s="14">
        <v>3.3</v>
      </c>
      <c r="E46" s="14">
        <v>9</v>
      </c>
      <c r="F46" s="14">
        <v>2</v>
      </c>
      <c r="G46" s="14">
        <v>2</v>
      </c>
      <c r="H46" s="14">
        <v>2</v>
      </c>
      <c r="I46" s="14">
        <v>2</v>
      </c>
      <c r="J46" s="14">
        <v>2</v>
      </c>
      <c r="K46" s="14">
        <v>2</v>
      </c>
      <c r="L46" s="14">
        <v>2</v>
      </c>
      <c r="M46" s="14">
        <v>2</v>
      </c>
      <c r="N46" s="14">
        <v>2</v>
      </c>
      <c r="O46" s="14">
        <v>2</v>
      </c>
      <c r="P46" s="14">
        <v>2</v>
      </c>
      <c r="Q46" s="14">
        <v>2</v>
      </c>
      <c r="R46" s="14">
        <v>2</v>
      </c>
      <c r="S46" s="14">
        <v>120</v>
      </c>
      <c r="T46" s="14">
        <v>2</v>
      </c>
      <c r="U46" s="14">
        <v>2</v>
      </c>
      <c r="V46" s="14">
        <v>2</v>
      </c>
      <c r="W46" s="14">
        <v>2</v>
      </c>
      <c r="X46" s="14" t="s">
        <v>183</v>
      </c>
      <c r="Y46" s="14" t="s">
        <v>133</v>
      </c>
    </row>
    <row r="47" spans="1:25" x14ac:dyDescent="0.35">
      <c r="A47" s="44">
        <v>46061.415234699067</v>
      </c>
      <c r="B47" s="14" t="s">
        <v>227</v>
      </c>
      <c r="C47" s="14" t="s">
        <v>210</v>
      </c>
      <c r="D47" s="14">
        <v>3.3</v>
      </c>
      <c r="E47" s="14">
        <v>7</v>
      </c>
      <c r="F47" s="14">
        <v>2</v>
      </c>
      <c r="G47" s="14">
        <v>1</v>
      </c>
      <c r="H47" s="14">
        <v>2</v>
      </c>
      <c r="I47" s="14">
        <v>2</v>
      </c>
      <c r="J47" s="14">
        <v>1</v>
      </c>
      <c r="K47" s="14">
        <v>2</v>
      </c>
      <c r="L47" s="14">
        <v>2</v>
      </c>
      <c r="M47" s="14">
        <v>2</v>
      </c>
      <c r="N47" s="14">
        <v>1</v>
      </c>
      <c r="O47" s="14">
        <v>2</v>
      </c>
      <c r="P47" s="14">
        <v>2</v>
      </c>
      <c r="Q47" s="14">
        <v>2</v>
      </c>
      <c r="R47" s="14">
        <v>1</v>
      </c>
      <c r="S47" s="14">
        <v>118</v>
      </c>
      <c r="T47" s="14">
        <v>2</v>
      </c>
      <c r="U47" s="14">
        <v>1</v>
      </c>
      <c r="V47" s="14">
        <v>2</v>
      </c>
      <c r="W47" s="14">
        <v>1</v>
      </c>
      <c r="X47" s="14" t="s">
        <v>183</v>
      </c>
      <c r="Y47" s="14" t="s">
        <v>133</v>
      </c>
    </row>
    <row r="48" spans="1:25" x14ac:dyDescent="0.35">
      <c r="A48" s="44">
        <v>46061.420793113422</v>
      </c>
      <c r="B48" s="14" t="s">
        <v>224</v>
      </c>
      <c r="C48" s="14" t="s">
        <v>213</v>
      </c>
      <c r="D48" s="14">
        <v>3.4</v>
      </c>
      <c r="E48" s="14">
        <v>7</v>
      </c>
      <c r="F48" s="14">
        <v>3</v>
      </c>
      <c r="G48" s="14">
        <v>2</v>
      </c>
      <c r="H48" s="14">
        <v>2</v>
      </c>
      <c r="I48" s="14">
        <v>2</v>
      </c>
      <c r="J48" s="14">
        <v>2</v>
      </c>
      <c r="K48" s="14">
        <v>2</v>
      </c>
      <c r="L48" s="14">
        <v>1</v>
      </c>
      <c r="M48" s="14">
        <v>3</v>
      </c>
      <c r="N48" s="14">
        <v>2</v>
      </c>
      <c r="O48" s="14">
        <v>2</v>
      </c>
      <c r="P48" s="14">
        <v>2</v>
      </c>
      <c r="Q48" s="14">
        <v>2</v>
      </c>
      <c r="R48" s="14">
        <v>1</v>
      </c>
      <c r="S48" s="14">
        <v>120</v>
      </c>
      <c r="T48" s="14">
        <v>2</v>
      </c>
      <c r="U48" s="14">
        <v>2</v>
      </c>
      <c r="V48" s="14">
        <v>3</v>
      </c>
      <c r="W48" s="14">
        <v>2</v>
      </c>
      <c r="X48" s="14" t="s">
        <v>247</v>
      </c>
      <c r="Y48" s="14" t="s">
        <v>133</v>
      </c>
    </row>
    <row r="49" spans="1:25" x14ac:dyDescent="0.35">
      <c r="A49" s="44">
        <v>46061.423281296287</v>
      </c>
      <c r="B49" s="14" t="s">
        <v>248</v>
      </c>
      <c r="C49" s="14" t="s">
        <v>216</v>
      </c>
      <c r="D49" s="14">
        <v>3.1</v>
      </c>
      <c r="E49" s="14">
        <v>8</v>
      </c>
      <c r="F49" s="14">
        <v>1</v>
      </c>
      <c r="G49" s="14">
        <v>2</v>
      </c>
      <c r="H49" s="14">
        <v>1</v>
      </c>
      <c r="I49" s="14">
        <v>2</v>
      </c>
      <c r="J49" s="14">
        <v>2</v>
      </c>
      <c r="K49" s="14">
        <v>1</v>
      </c>
      <c r="L49" s="14">
        <v>2</v>
      </c>
      <c r="M49" s="14">
        <v>2</v>
      </c>
      <c r="N49" s="14">
        <v>2</v>
      </c>
      <c r="O49" s="14">
        <v>1</v>
      </c>
      <c r="P49" s="14">
        <v>1</v>
      </c>
      <c r="Q49" s="14">
        <v>2</v>
      </c>
      <c r="R49" s="14">
        <v>2</v>
      </c>
      <c r="S49" s="14">
        <v>121</v>
      </c>
      <c r="T49" s="14">
        <v>1</v>
      </c>
      <c r="U49" s="14">
        <v>2</v>
      </c>
      <c r="V49" s="14">
        <v>2</v>
      </c>
      <c r="W49" s="14">
        <v>1</v>
      </c>
      <c r="X49" s="14" t="s">
        <v>217</v>
      </c>
      <c r="Y49" s="14" t="s">
        <v>133</v>
      </c>
    </row>
    <row r="50" spans="1:25" x14ac:dyDescent="0.35">
      <c r="A50" s="44">
        <v>46061.426495879627</v>
      </c>
      <c r="B50" s="14" t="s">
        <v>226</v>
      </c>
      <c r="C50" s="14" t="s">
        <v>219</v>
      </c>
      <c r="D50" s="14">
        <v>3.5</v>
      </c>
      <c r="E50" s="14">
        <v>8</v>
      </c>
      <c r="F50" s="14">
        <v>2</v>
      </c>
      <c r="G50" s="14">
        <v>3</v>
      </c>
      <c r="H50" s="14">
        <v>2</v>
      </c>
      <c r="I50" s="14">
        <v>2</v>
      </c>
      <c r="J50" s="14">
        <v>2</v>
      </c>
      <c r="K50" s="14">
        <v>2</v>
      </c>
      <c r="L50" s="14">
        <v>1</v>
      </c>
      <c r="M50" s="14">
        <v>2</v>
      </c>
      <c r="N50" s="14">
        <v>3</v>
      </c>
      <c r="O50" s="14">
        <v>2</v>
      </c>
      <c r="P50" s="14">
        <v>2</v>
      </c>
      <c r="Q50" s="14">
        <v>2</v>
      </c>
      <c r="R50" s="14">
        <v>1</v>
      </c>
      <c r="S50" s="14">
        <v>122</v>
      </c>
      <c r="T50" s="14">
        <v>2</v>
      </c>
      <c r="U50" s="14">
        <v>2</v>
      </c>
      <c r="V50" s="14">
        <v>2</v>
      </c>
      <c r="W50" s="14">
        <v>2</v>
      </c>
      <c r="X50" s="14" t="s">
        <v>249</v>
      </c>
      <c r="Y50" s="14" t="s">
        <v>133</v>
      </c>
    </row>
    <row r="51" spans="1:25" x14ac:dyDescent="0.35">
      <c r="A51" s="44">
        <v>46061.427963807873</v>
      </c>
      <c r="B51" s="14" t="s">
        <v>225</v>
      </c>
      <c r="C51" s="14" t="s">
        <v>222</v>
      </c>
      <c r="D51" s="14">
        <v>3.6</v>
      </c>
      <c r="E51" s="14">
        <v>9</v>
      </c>
      <c r="F51" s="14">
        <v>3</v>
      </c>
      <c r="G51" s="14">
        <v>2</v>
      </c>
      <c r="H51" s="14">
        <v>3</v>
      </c>
      <c r="I51" s="14">
        <v>2</v>
      </c>
      <c r="J51" s="14">
        <v>3</v>
      </c>
      <c r="K51" s="14">
        <v>2</v>
      </c>
      <c r="L51" s="14">
        <v>2</v>
      </c>
      <c r="M51" s="14">
        <v>3</v>
      </c>
      <c r="N51" s="14">
        <v>2</v>
      </c>
      <c r="O51" s="14">
        <v>2</v>
      </c>
      <c r="P51" s="14">
        <v>2</v>
      </c>
      <c r="Q51" s="14">
        <v>3</v>
      </c>
      <c r="R51" s="14">
        <v>2</v>
      </c>
      <c r="S51" s="14">
        <v>124</v>
      </c>
      <c r="T51" s="14">
        <v>3</v>
      </c>
      <c r="U51" s="14">
        <v>2</v>
      </c>
      <c r="V51" s="14">
        <v>3</v>
      </c>
      <c r="W51" s="14">
        <v>2</v>
      </c>
      <c r="X51" s="14" t="s">
        <v>250</v>
      </c>
      <c r="Y51" s="14" t="s">
        <v>133</v>
      </c>
    </row>
    <row r="57" spans="1:25" x14ac:dyDescent="0.35">
      <c r="A57" s="45" t="s">
        <v>106</v>
      </c>
      <c r="B57" s="45" t="s">
        <v>110</v>
      </c>
      <c r="C57" s="45" t="s">
        <v>111</v>
      </c>
      <c r="D57" s="45" t="s">
        <v>112</v>
      </c>
      <c r="E57" s="45" t="s">
        <v>113</v>
      </c>
      <c r="F57" s="45" t="s">
        <v>114</v>
      </c>
      <c r="G57" s="45" t="s">
        <v>115</v>
      </c>
      <c r="H57" s="45" t="s">
        <v>116</v>
      </c>
      <c r="I57" s="45" t="s">
        <v>117</v>
      </c>
      <c r="J57" s="45" t="s">
        <v>118</v>
      </c>
      <c r="K57" s="45" t="s">
        <v>119</v>
      </c>
      <c r="L57" s="45" t="s">
        <v>120</v>
      </c>
      <c r="M57" s="45" t="s">
        <v>121</v>
      </c>
      <c r="N57" s="45" t="s">
        <v>122</v>
      </c>
      <c r="O57" s="45" t="s">
        <v>124</v>
      </c>
      <c r="P57" s="45" t="s">
        <v>125</v>
      </c>
      <c r="Q57" s="45" t="s">
        <v>126</v>
      </c>
      <c r="R57" s="45" t="s">
        <v>127</v>
      </c>
    </row>
    <row r="58" spans="1:25" x14ac:dyDescent="0.35">
      <c r="A58" s="14" t="s">
        <v>130</v>
      </c>
      <c r="B58" s="14">
        <v>3</v>
      </c>
      <c r="C58" s="14">
        <v>2</v>
      </c>
      <c r="D58" s="14">
        <v>2</v>
      </c>
      <c r="E58" s="14">
        <v>2</v>
      </c>
      <c r="F58" s="14">
        <v>2</v>
      </c>
      <c r="G58" s="14">
        <v>3</v>
      </c>
      <c r="H58" s="14">
        <v>2</v>
      </c>
      <c r="I58" s="14">
        <v>3</v>
      </c>
      <c r="J58" s="14">
        <v>2</v>
      </c>
      <c r="K58" s="14">
        <v>3</v>
      </c>
      <c r="L58" s="14">
        <v>3</v>
      </c>
      <c r="M58" s="14">
        <v>2</v>
      </c>
      <c r="N58" s="14">
        <v>2</v>
      </c>
      <c r="O58" s="14">
        <v>2</v>
      </c>
      <c r="P58" s="14">
        <v>2</v>
      </c>
      <c r="Q58" s="14">
        <v>3</v>
      </c>
      <c r="R58" s="14">
        <v>2</v>
      </c>
    </row>
    <row r="59" spans="1:25" x14ac:dyDescent="0.35">
      <c r="A59" s="14" t="s">
        <v>134</v>
      </c>
      <c r="B59" s="14">
        <v>3</v>
      </c>
      <c r="C59" s="14">
        <v>2</v>
      </c>
      <c r="D59" s="14">
        <v>3</v>
      </c>
      <c r="E59" s="14">
        <v>2</v>
      </c>
      <c r="F59" s="14">
        <v>3</v>
      </c>
      <c r="G59" s="14">
        <v>2</v>
      </c>
      <c r="H59" s="14">
        <v>2</v>
      </c>
      <c r="I59" s="14">
        <v>3</v>
      </c>
      <c r="J59" s="14">
        <v>2</v>
      </c>
      <c r="K59" s="14">
        <v>2</v>
      </c>
      <c r="L59" s="14">
        <v>2</v>
      </c>
      <c r="M59" s="14">
        <v>3</v>
      </c>
      <c r="N59" s="14">
        <v>2</v>
      </c>
      <c r="O59" s="14">
        <v>3</v>
      </c>
      <c r="P59" s="14">
        <v>3</v>
      </c>
      <c r="Q59" s="14">
        <v>3</v>
      </c>
      <c r="R59" s="14">
        <v>2</v>
      </c>
    </row>
    <row r="60" spans="1:25" x14ac:dyDescent="0.35">
      <c r="A60" s="14" t="s">
        <v>241</v>
      </c>
      <c r="B60" s="14">
        <v>2</v>
      </c>
      <c r="C60" s="14">
        <v>3</v>
      </c>
      <c r="D60" s="14">
        <v>3</v>
      </c>
      <c r="E60" s="14">
        <v>2</v>
      </c>
      <c r="F60" s="14">
        <v>3</v>
      </c>
      <c r="G60" s="14">
        <v>2</v>
      </c>
      <c r="H60" s="14">
        <v>3</v>
      </c>
      <c r="I60" s="14">
        <v>3</v>
      </c>
      <c r="J60" s="14">
        <v>2</v>
      </c>
      <c r="K60" s="14">
        <v>3</v>
      </c>
      <c r="L60" s="14">
        <v>2</v>
      </c>
      <c r="M60" s="14">
        <v>3</v>
      </c>
      <c r="N60" s="14">
        <v>2</v>
      </c>
      <c r="O60" s="14">
        <v>3</v>
      </c>
      <c r="P60" s="14">
        <v>3</v>
      </c>
      <c r="Q60" s="14">
        <v>2</v>
      </c>
      <c r="R60" s="14">
        <v>3</v>
      </c>
    </row>
    <row r="61" spans="1:25" x14ac:dyDescent="0.35">
      <c r="A61" s="14" t="s">
        <v>244</v>
      </c>
      <c r="B61" s="14">
        <v>3</v>
      </c>
      <c r="C61" s="14">
        <v>2</v>
      </c>
      <c r="D61" s="14">
        <v>3</v>
      </c>
      <c r="E61" s="14">
        <v>2</v>
      </c>
      <c r="F61" s="14">
        <v>3</v>
      </c>
      <c r="G61" s="14">
        <v>2</v>
      </c>
      <c r="H61" s="14">
        <v>2</v>
      </c>
      <c r="I61" s="14">
        <v>2</v>
      </c>
      <c r="J61" s="14">
        <v>3</v>
      </c>
      <c r="K61" s="14">
        <v>2</v>
      </c>
      <c r="L61" s="14">
        <v>3</v>
      </c>
      <c r="M61" s="14">
        <v>2</v>
      </c>
      <c r="N61" s="14">
        <v>2</v>
      </c>
      <c r="O61" s="14">
        <v>2</v>
      </c>
      <c r="P61" s="14">
        <v>2</v>
      </c>
      <c r="Q61" s="14">
        <v>3</v>
      </c>
      <c r="R61" s="14">
        <v>2</v>
      </c>
    </row>
    <row r="62" spans="1:25" x14ac:dyDescent="0.35">
      <c r="A62" s="14" t="s">
        <v>137</v>
      </c>
      <c r="B62" s="14">
        <v>2</v>
      </c>
      <c r="C62" s="14">
        <v>2</v>
      </c>
      <c r="D62" s="14">
        <v>2</v>
      </c>
      <c r="E62" s="14">
        <v>3</v>
      </c>
      <c r="F62" s="14">
        <v>2</v>
      </c>
      <c r="G62" s="14">
        <v>2</v>
      </c>
      <c r="H62" s="14">
        <v>2</v>
      </c>
      <c r="I62" s="14">
        <v>2</v>
      </c>
      <c r="J62" s="14">
        <v>2</v>
      </c>
      <c r="K62" s="14">
        <v>3</v>
      </c>
      <c r="L62" s="14">
        <v>2</v>
      </c>
      <c r="M62" s="14">
        <v>2</v>
      </c>
      <c r="N62" s="14">
        <v>2</v>
      </c>
      <c r="O62" s="14">
        <v>2</v>
      </c>
      <c r="P62" s="14">
        <v>2</v>
      </c>
      <c r="Q62" s="14">
        <v>2</v>
      </c>
      <c r="R62" s="14">
        <v>3</v>
      </c>
    </row>
    <row r="63" spans="1:25" x14ac:dyDescent="0.35">
      <c r="A63" s="14" t="s">
        <v>140</v>
      </c>
      <c r="B63" s="14">
        <v>2</v>
      </c>
      <c r="C63" s="14">
        <v>2</v>
      </c>
      <c r="D63" s="14">
        <v>3</v>
      </c>
      <c r="E63" s="14">
        <v>2</v>
      </c>
      <c r="F63" s="14">
        <v>3</v>
      </c>
      <c r="G63" s="14">
        <v>2</v>
      </c>
      <c r="H63" s="14">
        <v>2</v>
      </c>
      <c r="I63" s="14">
        <v>2</v>
      </c>
      <c r="J63" s="14">
        <v>2</v>
      </c>
      <c r="K63" s="14">
        <v>2</v>
      </c>
      <c r="L63" s="14">
        <v>3</v>
      </c>
      <c r="M63" s="14">
        <v>3</v>
      </c>
      <c r="N63" s="14">
        <v>2</v>
      </c>
      <c r="O63" s="14">
        <v>3</v>
      </c>
      <c r="P63" s="14">
        <v>3</v>
      </c>
      <c r="Q63" s="14">
        <v>2</v>
      </c>
      <c r="R63" s="14">
        <v>2</v>
      </c>
    </row>
    <row r="64" spans="1:25" x14ac:dyDescent="0.35">
      <c r="A64" s="14" t="s">
        <v>143</v>
      </c>
      <c r="B64" s="14">
        <v>3</v>
      </c>
      <c r="C64" s="14">
        <v>2</v>
      </c>
      <c r="D64" s="14">
        <v>3</v>
      </c>
      <c r="E64" s="14">
        <v>2</v>
      </c>
      <c r="F64" s="14">
        <v>3</v>
      </c>
      <c r="G64" s="14">
        <v>2</v>
      </c>
      <c r="H64" s="14">
        <v>3</v>
      </c>
      <c r="I64" s="14">
        <v>2</v>
      </c>
      <c r="J64" s="14">
        <v>3</v>
      </c>
      <c r="K64" s="14">
        <v>2</v>
      </c>
      <c r="L64" s="14">
        <v>2</v>
      </c>
      <c r="M64" s="14">
        <v>2</v>
      </c>
      <c r="N64" s="14">
        <v>2</v>
      </c>
      <c r="O64" s="14">
        <v>2</v>
      </c>
      <c r="P64" s="14">
        <v>3</v>
      </c>
      <c r="Q64" s="14">
        <v>2</v>
      </c>
      <c r="R64" s="14">
        <v>2</v>
      </c>
    </row>
    <row r="65" spans="1:18" x14ac:dyDescent="0.35">
      <c r="A65" s="14" t="s">
        <v>146</v>
      </c>
      <c r="B65" s="14">
        <v>2</v>
      </c>
      <c r="C65" s="14">
        <v>2</v>
      </c>
      <c r="D65" s="14">
        <v>2</v>
      </c>
      <c r="E65" s="14">
        <v>2</v>
      </c>
      <c r="F65" s="14">
        <v>2</v>
      </c>
      <c r="G65" s="14">
        <v>2</v>
      </c>
      <c r="H65" s="14">
        <v>3</v>
      </c>
      <c r="I65" s="14">
        <v>2</v>
      </c>
      <c r="J65" s="14">
        <v>2</v>
      </c>
      <c r="K65" s="14">
        <v>2</v>
      </c>
      <c r="L65" s="14">
        <v>2</v>
      </c>
      <c r="M65" s="14">
        <v>3</v>
      </c>
      <c r="N65" s="14">
        <v>2</v>
      </c>
      <c r="O65" s="14">
        <v>2</v>
      </c>
      <c r="P65" s="14">
        <v>2</v>
      </c>
      <c r="Q65" s="14">
        <v>2</v>
      </c>
      <c r="R65" s="14">
        <v>2</v>
      </c>
    </row>
    <row r="66" spans="1:18" x14ac:dyDescent="0.35">
      <c r="A66" s="14" t="s">
        <v>149</v>
      </c>
      <c r="B66" s="14">
        <v>2</v>
      </c>
      <c r="C66" s="14">
        <v>3</v>
      </c>
      <c r="D66" s="14">
        <v>3</v>
      </c>
      <c r="E66" s="14">
        <v>2</v>
      </c>
      <c r="F66" s="14">
        <v>3</v>
      </c>
      <c r="G66" s="14">
        <v>2</v>
      </c>
      <c r="H66" s="14">
        <v>2</v>
      </c>
      <c r="I66" s="14">
        <v>2</v>
      </c>
      <c r="J66" s="14">
        <v>3</v>
      </c>
      <c r="K66" s="14">
        <v>2</v>
      </c>
      <c r="L66" s="14">
        <v>2</v>
      </c>
      <c r="M66" s="14">
        <v>3</v>
      </c>
      <c r="N66" s="14">
        <v>2</v>
      </c>
      <c r="O66" s="14">
        <v>3</v>
      </c>
      <c r="P66" s="14">
        <v>3</v>
      </c>
      <c r="Q66" s="14">
        <v>2</v>
      </c>
      <c r="R66" s="14">
        <v>2</v>
      </c>
    </row>
    <row r="67" spans="1:18" x14ac:dyDescent="0.35">
      <c r="A67" s="14" t="s">
        <v>151</v>
      </c>
      <c r="B67" s="14">
        <v>3</v>
      </c>
      <c r="C67" s="14">
        <v>2</v>
      </c>
      <c r="D67" s="14">
        <v>2</v>
      </c>
      <c r="E67" s="14">
        <v>3</v>
      </c>
      <c r="F67" s="14">
        <v>2</v>
      </c>
      <c r="G67" s="14">
        <v>2</v>
      </c>
      <c r="H67" s="14">
        <v>2</v>
      </c>
      <c r="I67" s="14">
        <v>3</v>
      </c>
      <c r="J67" s="14">
        <v>2</v>
      </c>
      <c r="K67" s="14">
        <v>3</v>
      </c>
      <c r="L67" s="14">
        <v>2</v>
      </c>
      <c r="M67" s="14">
        <v>2</v>
      </c>
      <c r="N67" s="14">
        <v>2</v>
      </c>
      <c r="O67" s="14">
        <v>2</v>
      </c>
      <c r="P67" s="14">
        <v>2</v>
      </c>
      <c r="Q67" s="14">
        <v>3</v>
      </c>
      <c r="R67" s="14">
        <v>3</v>
      </c>
    </row>
    <row r="68" spans="1:18" x14ac:dyDescent="0.35">
      <c r="A68" s="14" t="s">
        <v>154</v>
      </c>
      <c r="B68" s="14">
        <v>2</v>
      </c>
      <c r="C68" s="14">
        <v>2</v>
      </c>
      <c r="D68" s="14">
        <v>2</v>
      </c>
      <c r="E68" s="14">
        <v>2</v>
      </c>
      <c r="F68" s="14">
        <v>2</v>
      </c>
      <c r="G68" s="14">
        <v>2</v>
      </c>
      <c r="H68" s="14">
        <v>2</v>
      </c>
      <c r="I68" s="14">
        <v>2</v>
      </c>
      <c r="J68" s="14">
        <v>3</v>
      </c>
      <c r="K68" s="14">
        <v>2</v>
      </c>
      <c r="L68" s="14">
        <v>3</v>
      </c>
      <c r="M68" s="14">
        <v>2</v>
      </c>
      <c r="N68" s="14">
        <v>3</v>
      </c>
      <c r="O68" s="14">
        <v>2</v>
      </c>
      <c r="P68" s="14">
        <v>2</v>
      </c>
      <c r="Q68" s="14">
        <v>2</v>
      </c>
      <c r="R68" s="14">
        <v>3</v>
      </c>
    </row>
    <row r="69" spans="1:18" x14ac:dyDescent="0.35">
      <c r="A69" s="14" t="s">
        <v>157</v>
      </c>
      <c r="B69" s="14">
        <v>3</v>
      </c>
      <c r="C69" s="14">
        <v>3</v>
      </c>
      <c r="D69" s="14">
        <v>2</v>
      </c>
      <c r="E69" s="14">
        <v>3</v>
      </c>
      <c r="F69" s="14">
        <v>2</v>
      </c>
      <c r="G69" s="14">
        <v>3</v>
      </c>
      <c r="H69" s="14">
        <v>2</v>
      </c>
      <c r="I69" s="14">
        <v>3</v>
      </c>
      <c r="J69" s="14">
        <v>2</v>
      </c>
      <c r="K69" s="14">
        <v>2</v>
      </c>
      <c r="L69" s="14">
        <v>3</v>
      </c>
      <c r="M69" s="14">
        <v>2</v>
      </c>
      <c r="N69" s="14">
        <v>2</v>
      </c>
      <c r="O69" s="14">
        <v>2</v>
      </c>
      <c r="P69" s="14">
        <v>2</v>
      </c>
      <c r="Q69" s="14">
        <v>3</v>
      </c>
      <c r="R69" s="14">
        <v>2</v>
      </c>
    </row>
    <row r="70" spans="1:18" x14ac:dyDescent="0.35">
      <c r="A70" s="14" t="s">
        <v>160</v>
      </c>
      <c r="B70" s="14">
        <v>2</v>
      </c>
      <c r="C70" s="14">
        <v>2</v>
      </c>
      <c r="D70" s="14">
        <v>3</v>
      </c>
      <c r="E70" s="14">
        <v>2</v>
      </c>
      <c r="F70" s="14">
        <v>3</v>
      </c>
      <c r="G70" s="14">
        <v>3</v>
      </c>
      <c r="H70" s="14">
        <v>2</v>
      </c>
      <c r="I70" s="14">
        <v>2</v>
      </c>
      <c r="J70" s="14">
        <v>2</v>
      </c>
      <c r="K70" s="14">
        <v>2</v>
      </c>
      <c r="L70" s="14">
        <v>3</v>
      </c>
      <c r="M70" s="14">
        <v>3</v>
      </c>
      <c r="N70" s="14">
        <v>2</v>
      </c>
      <c r="O70" s="14">
        <v>3</v>
      </c>
      <c r="P70" s="14">
        <v>3</v>
      </c>
      <c r="Q70" s="14">
        <v>2</v>
      </c>
      <c r="R70" s="14">
        <v>2</v>
      </c>
    </row>
    <row r="71" spans="1:18" x14ac:dyDescent="0.35">
      <c r="A71" s="14" t="s">
        <v>163</v>
      </c>
      <c r="B71" s="14">
        <v>2</v>
      </c>
      <c r="C71" s="14">
        <v>2</v>
      </c>
      <c r="D71" s="14">
        <v>3</v>
      </c>
      <c r="E71" s="14">
        <v>2</v>
      </c>
      <c r="F71" s="14">
        <v>3</v>
      </c>
      <c r="G71" s="14">
        <v>2</v>
      </c>
      <c r="H71" s="14">
        <v>2</v>
      </c>
      <c r="I71" s="14">
        <v>2</v>
      </c>
      <c r="J71" s="14">
        <v>2</v>
      </c>
      <c r="K71" s="14">
        <v>2</v>
      </c>
      <c r="L71" s="14">
        <v>2</v>
      </c>
      <c r="M71" s="14">
        <v>3</v>
      </c>
      <c r="N71" s="14">
        <v>2</v>
      </c>
      <c r="O71" s="14">
        <v>3</v>
      </c>
      <c r="P71" s="14">
        <v>3</v>
      </c>
      <c r="Q71" s="14">
        <v>2</v>
      </c>
      <c r="R71" s="14">
        <v>2</v>
      </c>
    </row>
    <row r="72" spans="1:18" x14ac:dyDescent="0.35">
      <c r="A72" s="14" t="s">
        <v>166</v>
      </c>
      <c r="B72" s="14">
        <v>2</v>
      </c>
      <c r="C72" s="14">
        <v>2</v>
      </c>
      <c r="D72" s="14">
        <v>2</v>
      </c>
      <c r="E72" s="14">
        <v>2</v>
      </c>
      <c r="F72" s="14">
        <v>2</v>
      </c>
      <c r="G72" s="14">
        <v>2</v>
      </c>
      <c r="H72" s="14">
        <v>2</v>
      </c>
      <c r="I72" s="14">
        <v>2</v>
      </c>
      <c r="J72" s="14">
        <v>2</v>
      </c>
      <c r="K72" s="14">
        <v>2</v>
      </c>
      <c r="L72" s="14">
        <v>2</v>
      </c>
      <c r="M72" s="14">
        <v>2</v>
      </c>
      <c r="N72" s="14">
        <v>2</v>
      </c>
      <c r="O72" s="14">
        <v>2</v>
      </c>
      <c r="P72" s="14">
        <v>2</v>
      </c>
      <c r="Q72" s="14">
        <v>2</v>
      </c>
      <c r="R72" s="14">
        <v>2</v>
      </c>
    </row>
    <row r="73" spans="1:18" x14ac:dyDescent="0.35">
      <c r="A73" s="14" t="s">
        <v>169</v>
      </c>
      <c r="B73" s="14">
        <v>2</v>
      </c>
      <c r="C73" s="14">
        <v>2</v>
      </c>
      <c r="D73" s="14">
        <v>2</v>
      </c>
      <c r="E73" s="14">
        <v>2</v>
      </c>
      <c r="F73" s="14">
        <v>2</v>
      </c>
      <c r="G73" s="14">
        <v>3</v>
      </c>
      <c r="H73" s="14">
        <v>3</v>
      </c>
      <c r="I73" s="14">
        <v>2</v>
      </c>
      <c r="J73" s="14">
        <v>2</v>
      </c>
      <c r="K73" s="14">
        <v>2</v>
      </c>
      <c r="L73" s="14">
        <v>3</v>
      </c>
      <c r="M73" s="14">
        <v>2</v>
      </c>
      <c r="N73" s="14">
        <v>3</v>
      </c>
      <c r="O73" s="14">
        <v>2</v>
      </c>
      <c r="P73" s="14">
        <v>3</v>
      </c>
      <c r="Q73" s="14">
        <v>2</v>
      </c>
      <c r="R73" s="14">
        <v>2</v>
      </c>
    </row>
    <row r="74" spans="1:18" x14ac:dyDescent="0.35">
      <c r="A74" s="14" t="s">
        <v>172</v>
      </c>
      <c r="B74" s="14">
        <v>3</v>
      </c>
      <c r="C74" s="14">
        <v>3</v>
      </c>
      <c r="D74" s="14">
        <v>2</v>
      </c>
      <c r="E74" s="14">
        <v>2</v>
      </c>
      <c r="F74" s="14">
        <v>2</v>
      </c>
      <c r="G74" s="14">
        <v>2</v>
      </c>
      <c r="H74" s="14">
        <v>2</v>
      </c>
      <c r="I74" s="14">
        <v>3</v>
      </c>
      <c r="J74" s="14">
        <v>3</v>
      </c>
      <c r="K74" s="14">
        <v>2</v>
      </c>
      <c r="L74" s="14">
        <v>2</v>
      </c>
      <c r="M74" s="14">
        <v>2</v>
      </c>
      <c r="N74" s="14">
        <v>2</v>
      </c>
      <c r="O74" s="14">
        <v>2</v>
      </c>
      <c r="P74" s="14">
        <v>2</v>
      </c>
      <c r="Q74" s="14">
        <v>3</v>
      </c>
      <c r="R74" s="14">
        <v>2</v>
      </c>
    </row>
    <row r="75" spans="1:18" x14ac:dyDescent="0.35">
      <c r="A75" s="14" t="s">
        <v>175</v>
      </c>
      <c r="B75" s="14">
        <v>2</v>
      </c>
      <c r="C75" s="14">
        <v>2</v>
      </c>
      <c r="D75" s="14">
        <v>3</v>
      </c>
      <c r="E75" s="14">
        <v>3</v>
      </c>
      <c r="F75" s="14">
        <v>3</v>
      </c>
      <c r="G75" s="14">
        <v>2</v>
      </c>
      <c r="H75" s="14">
        <v>2</v>
      </c>
      <c r="I75" s="14">
        <v>2</v>
      </c>
      <c r="J75" s="14">
        <v>2</v>
      </c>
      <c r="K75" s="14">
        <v>3</v>
      </c>
      <c r="L75" s="14">
        <v>2</v>
      </c>
      <c r="M75" s="14">
        <v>3</v>
      </c>
      <c r="N75" s="14">
        <v>2</v>
      </c>
      <c r="O75" s="14">
        <v>3</v>
      </c>
      <c r="P75" s="14">
        <v>3</v>
      </c>
      <c r="Q75" s="14">
        <v>2</v>
      </c>
      <c r="R75" s="14">
        <v>3</v>
      </c>
    </row>
    <row r="76" spans="1:18" x14ac:dyDescent="0.35">
      <c r="A76" s="14" t="s">
        <v>178</v>
      </c>
      <c r="B76" s="14">
        <v>3</v>
      </c>
      <c r="C76" s="14">
        <v>2</v>
      </c>
      <c r="D76" s="14">
        <v>2</v>
      </c>
      <c r="E76" s="14">
        <v>2</v>
      </c>
      <c r="F76" s="14">
        <v>2</v>
      </c>
      <c r="G76" s="14">
        <v>3</v>
      </c>
      <c r="H76" s="14">
        <v>2</v>
      </c>
      <c r="I76" s="14">
        <v>3</v>
      </c>
      <c r="J76" s="14">
        <v>2</v>
      </c>
      <c r="K76" s="14">
        <v>2</v>
      </c>
      <c r="L76" s="14">
        <v>3</v>
      </c>
      <c r="M76" s="14">
        <v>2</v>
      </c>
      <c r="N76" s="14">
        <v>2</v>
      </c>
      <c r="O76" s="14">
        <v>2</v>
      </c>
      <c r="P76" s="14">
        <v>2</v>
      </c>
      <c r="Q76" s="14">
        <v>3</v>
      </c>
      <c r="R76" s="14">
        <v>2</v>
      </c>
    </row>
    <row r="77" spans="1:18" x14ac:dyDescent="0.35">
      <c r="A77" s="14" t="s">
        <v>181</v>
      </c>
      <c r="B77" s="14">
        <v>2</v>
      </c>
      <c r="C77" s="14">
        <v>2</v>
      </c>
      <c r="D77" s="14">
        <v>2</v>
      </c>
      <c r="E77" s="14">
        <v>2</v>
      </c>
      <c r="F77" s="14">
        <v>2</v>
      </c>
      <c r="G77" s="14">
        <v>2</v>
      </c>
      <c r="H77" s="14">
        <v>2</v>
      </c>
      <c r="I77" s="14">
        <v>2</v>
      </c>
      <c r="J77" s="14">
        <v>2</v>
      </c>
      <c r="K77" s="14">
        <v>2</v>
      </c>
      <c r="L77" s="14">
        <v>2</v>
      </c>
      <c r="M77" s="14">
        <v>2</v>
      </c>
      <c r="N77" s="14">
        <v>2</v>
      </c>
      <c r="O77" s="14">
        <v>2</v>
      </c>
      <c r="P77" s="14">
        <v>2</v>
      </c>
      <c r="Q77" s="14">
        <v>2</v>
      </c>
      <c r="R77" s="14">
        <v>2</v>
      </c>
    </row>
    <row r="78" spans="1:18" x14ac:dyDescent="0.35">
      <c r="A78" s="14" t="s">
        <v>227</v>
      </c>
      <c r="B78" s="14">
        <v>2</v>
      </c>
      <c r="C78" s="14">
        <v>1</v>
      </c>
      <c r="D78" s="14">
        <v>2</v>
      </c>
      <c r="E78" s="14">
        <v>2</v>
      </c>
      <c r="F78" s="14">
        <v>1</v>
      </c>
      <c r="G78" s="14">
        <v>2</v>
      </c>
      <c r="H78" s="14">
        <v>2</v>
      </c>
      <c r="I78" s="14">
        <v>2</v>
      </c>
      <c r="J78" s="14">
        <v>1</v>
      </c>
      <c r="K78" s="14">
        <v>2</v>
      </c>
      <c r="L78" s="14">
        <v>2</v>
      </c>
      <c r="M78" s="14">
        <v>2</v>
      </c>
      <c r="N78" s="14">
        <v>1</v>
      </c>
      <c r="O78" s="14">
        <v>2</v>
      </c>
      <c r="P78" s="14">
        <v>1</v>
      </c>
      <c r="Q78" s="14">
        <v>2</v>
      </c>
      <c r="R78" s="14">
        <v>1</v>
      </c>
    </row>
    <row r="79" spans="1:18" x14ac:dyDescent="0.35">
      <c r="A79" s="14" t="s">
        <v>224</v>
      </c>
      <c r="B79" s="14">
        <v>3</v>
      </c>
      <c r="C79" s="14">
        <v>2</v>
      </c>
      <c r="D79" s="14">
        <v>2</v>
      </c>
      <c r="E79" s="14">
        <v>2</v>
      </c>
      <c r="F79" s="14">
        <v>2</v>
      </c>
      <c r="G79" s="14">
        <v>2</v>
      </c>
      <c r="H79" s="14">
        <v>1</v>
      </c>
      <c r="I79" s="14">
        <v>3</v>
      </c>
      <c r="J79" s="14">
        <v>2</v>
      </c>
      <c r="K79" s="14">
        <v>2</v>
      </c>
      <c r="L79" s="14">
        <v>2</v>
      </c>
      <c r="M79" s="14">
        <v>2</v>
      </c>
      <c r="N79" s="14">
        <v>1</v>
      </c>
      <c r="O79" s="14">
        <v>2</v>
      </c>
      <c r="P79" s="14">
        <v>2</v>
      </c>
      <c r="Q79" s="14">
        <v>3</v>
      </c>
      <c r="R79" s="14">
        <v>2</v>
      </c>
    </row>
    <row r="80" spans="1:18" x14ac:dyDescent="0.35">
      <c r="A80" s="14" t="s">
        <v>248</v>
      </c>
      <c r="B80" s="14">
        <v>1</v>
      </c>
      <c r="C80" s="14">
        <v>2</v>
      </c>
      <c r="D80" s="14">
        <v>1</v>
      </c>
      <c r="E80" s="14">
        <v>2</v>
      </c>
      <c r="F80" s="14">
        <v>2</v>
      </c>
      <c r="G80" s="14">
        <v>1</v>
      </c>
      <c r="H80" s="14">
        <v>2</v>
      </c>
      <c r="I80" s="14">
        <v>2</v>
      </c>
      <c r="J80" s="14">
        <v>2</v>
      </c>
      <c r="K80" s="14">
        <v>1</v>
      </c>
      <c r="L80" s="14">
        <v>1</v>
      </c>
      <c r="M80" s="14">
        <v>2</v>
      </c>
      <c r="N80" s="14">
        <v>2</v>
      </c>
      <c r="O80" s="14">
        <v>1</v>
      </c>
      <c r="P80" s="14">
        <v>2</v>
      </c>
      <c r="Q80" s="14">
        <v>2</v>
      </c>
      <c r="R80" s="14">
        <v>1</v>
      </c>
    </row>
    <row r="81" spans="1:18" x14ac:dyDescent="0.35">
      <c r="A81" s="14" t="s">
        <v>226</v>
      </c>
      <c r="B81" s="14">
        <v>2</v>
      </c>
      <c r="C81" s="14">
        <v>3</v>
      </c>
      <c r="D81" s="14">
        <v>2</v>
      </c>
      <c r="E81" s="14">
        <v>2</v>
      </c>
      <c r="F81" s="14">
        <v>2</v>
      </c>
      <c r="G81" s="14">
        <v>2</v>
      </c>
      <c r="H81" s="14">
        <v>1</v>
      </c>
      <c r="I81" s="14">
        <v>2</v>
      </c>
      <c r="J81" s="14">
        <v>3</v>
      </c>
      <c r="K81" s="14">
        <v>2</v>
      </c>
      <c r="L81" s="14">
        <v>2</v>
      </c>
      <c r="M81" s="14">
        <v>2</v>
      </c>
      <c r="N81" s="14">
        <v>1</v>
      </c>
      <c r="O81" s="14">
        <v>2</v>
      </c>
      <c r="P81" s="14">
        <v>2</v>
      </c>
      <c r="Q81" s="14">
        <v>2</v>
      </c>
      <c r="R81" s="14">
        <v>2</v>
      </c>
    </row>
    <row r="82" spans="1:18" x14ac:dyDescent="0.35">
      <c r="A82" s="14" t="s">
        <v>225</v>
      </c>
      <c r="B82" s="14">
        <v>3</v>
      </c>
      <c r="C82" s="14">
        <v>2</v>
      </c>
      <c r="D82" s="14">
        <v>3</v>
      </c>
      <c r="E82" s="14">
        <v>2</v>
      </c>
      <c r="F82" s="14">
        <v>3</v>
      </c>
      <c r="G82" s="14">
        <v>2</v>
      </c>
      <c r="H82" s="14">
        <v>2</v>
      </c>
      <c r="I82" s="14">
        <v>3</v>
      </c>
      <c r="J82" s="14">
        <v>2</v>
      </c>
      <c r="K82" s="14">
        <v>2</v>
      </c>
      <c r="L82" s="14">
        <v>2</v>
      </c>
      <c r="M82" s="14">
        <v>3</v>
      </c>
      <c r="N82" s="14">
        <v>2</v>
      </c>
      <c r="O82" s="14">
        <v>3</v>
      </c>
      <c r="P82" s="14">
        <v>2</v>
      </c>
      <c r="Q82" s="14">
        <v>3</v>
      </c>
      <c r="R82" s="14">
        <v>2</v>
      </c>
    </row>
    <row r="83" spans="1:18" x14ac:dyDescent="0.35">
      <c r="A83" s="14" t="s">
        <v>130</v>
      </c>
      <c r="B83" s="14">
        <v>3</v>
      </c>
      <c r="C83" s="14">
        <v>2</v>
      </c>
      <c r="D83" s="14">
        <v>2</v>
      </c>
      <c r="E83" s="14">
        <v>2</v>
      </c>
      <c r="F83" s="14">
        <v>2</v>
      </c>
      <c r="G83" s="14">
        <v>3</v>
      </c>
      <c r="H83" s="14">
        <v>2</v>
      </c>
      <c r="I83" s="14">
        <v>3</v>
      </c>
      <c r="J83" s="14">
        <v>2</v>
      </c>
      <c r="K83" s="14">
        <v>3</v>
      </c>
      <c r="L83" s="14">
        <v>3</v>
      </c>
      <c r="M83" s="14">
        <v>2</v>
      </c>
      <c r="N83" s="14">
        <v>2</v>
      </c>
      <c r="O83" s="14">
        <v>2</v>
      </c>
      <c r="P83" s="14">
        <v>2</v>
      </c>
      <c r="Q83" s="14">
        <v>3</v>
      </c>
      <c r="R83" s="14">
        <v>2</v>
      </c>
    </row>
    <row r="84" spans="1:18" x14ac:dyDescent="0.35">
      <c r="A84" s="14" t="s">
        <v>134</v>
      </c>
      <c r="B84" s="14">
        <v>3</v>
      </c>
      <c r="C84" s="14">
        <v>2</v>
      </c>
      <c r="D84" s="14">
        <v>3</v>
      </c>
      <c r="E84" s="14">
        <v>2</v>
      </c>
      <c r="F84" s="14">
        <v>3</v>
      </c>
      <c r="G84" s="14">
        <v>2</v>
      </c>
      <c r="H84" s="14">
        <v>2</v>
      </c>
      <c r="I84" s="14">
        <v>3</v>
      </c>
      <c r="J84" s="14">
        <v>2</v>
      </c>
      <c r="K84" s="14">
        <v>2</v>
      </c>
      <c r="L84" s="14">
        <v>2</v>
      </c>
      <c r="M84" s="14">
        <v>3</v>
      </c>
      <c r="N84" s="14">
        <v>2</v>
      </c>
      <c r="O84" s="14">
        <v>3</v>
      </c>
      <c r="P84" s="14">
        <v>3</v>
      </c>
      <c r="Q84" s="14">
        <v>3</v>
      </c>
      <c r="R84" s="14">
        <v>2</v>
      </c>
    </row>
    <row r="85" spans="1:18" x14ac:dyDescent="0.35">
      <c r="A85" s="14" t="s">
        <v>241</v>
      </c>
      <c r="B85" s="14">
        <v>2</v>
      </c>
      <c r="C85" s="14">
        <v>3</v>
      </c>
      <c r="D85" s="14">
        <v>3</v>
      </c>
      <c r="E85" s="14">
        <v>2</v>
      </c>
      <c r="F85" s="14">
        <v>3</v>
      </c>
      <c r="G85" s="14">
        <v>2</v>
      </c>
      <c r="H85" s="14">
        <v>3</v>
      </c>
      <c r="I85" s="14">
        <v>3</v>
      </c>
      <c r="J85" s="14">
        <v>2</v>
      </c>
      <c r="K85" s="14">
        <v>3</v>
      </c>
      <c r="L85" s="14">
        <v>2</v>
      </c>
      <c r="M85" s="14">
        <v>3</v>
      </c>
      <c r="N85" s="14">
        <v>2</v>
      </c>
      <c r="O85" s="14">
        <v>3</v>
      </c>
      <c r="P85" s="14">
        <v>3</v>
      </c>
      <c r="Q85" s="14">
        <v>2</v>
      </c>
      <c r="R85" s="14">
        <v>3</v>
      </c>
    </row>
    <row r="86" spans="1:18" x14ac:dyDescent="0.35">
      <c r="A86" s="14" t="s">
        <v>244</v>
      </c>
      <c r="B86" s="14">
        <v>3</v>
      </c>
      <c r="C86" s="14">
        <v>2</v>
      </c>
      <c r="D86" s="14">
        <v>3</v>
      </c>
      <c r="E86" s="14">
        <v>2</v>
      </c>
      <c r="F86" s="14">
        <v>3</v>
      </c>
      <c r="G86" s="14">
        <v>2</v>
      </c>
      <c r="H86" s="14">
        <v>2</v>
      </c>
      <c r="I86" s="14">
        <v>2</v>
      </c>
      <c r="J86" s="14">
        <v>3</v>
      </c>
      <c r="K86" s="14">
        <v>2</v>
      </c>
      <c r="L86" s="14">
        <v>3</v>
      </c>
      <c r="M86" s="14">
        <v>2</v>
      </c>
      <c r="N86" s="14">
        <v>2</v>
      </c>
      <c r="O86" s="14">
        <v>2</v>
      </c>
      <c r="P86" s="14">
        <v>2</v>
      </c>
      <c r="Q86" s="14">
        <v>3</v>
      </c>
      <c r="R86" s="14">
        <v>2</v>
      </c>
    </row>
    <row r="87" spans="1:18" x14ac:dyDescent="0.35">
      <c r="A87" s="14" t="s">
        <v>137</v>
      </c>
      <c r="B87" s="14">
        <v>2</v>
      </c>
      <c r="C87" s="14">
        <v>2</v>
      </c>
      <c r="D87" s="14">
        <v>2</v>
      </c>
      <c r="E87" s="14">
        <v>3</v>
      </c>
      <c r="F87" s="14">
        <v>2</v>
      </c>
      <c r="G87" s="14">
        <v>2</v>
      </c>
      <c r="H87" s="14">
        <v>2</v>
      </c>
      <c r="I87" s="14">
        <v>2</v>
      </c>
      <c r="J87" s="14">
        <v>2</v>
      </c>
      <c r="K87" s="14">
        <v>3</v>
      </c>
      <c r="L87" s="14">
        <v>2</v>
      </c>
      <c r="M87" s="14">
        <v>2</v>
      </c>
      <c r="N87" s="14">
        <v>2</v>
      </c>
      <c r="O87" s="14">
        <v>2</v>
      </c>
      <c r="P87" s="14">
        <v>2</v>
      </c>
      <c r="Q87" s="14">
        <v>2</v>
      </c>
      <c r="R87" s="14">
        <v>3</v>
      </c>
    </row>
    <row r="88" spans="1:18" x14ac:dyDescent="0.35">
      <c r="A88" s="14" t="s">
        <v>140</v>
      </c>
      <c r="B88" s="14">
        <v>2</v>
      </c>
      <c r="C88" s="14">
        <v>2</v>
      </c>
      <c r="D88" s="14">
        <v>3</v>
      </c>
      <c r="E88" s="14">
        <v>2</v>
      </c>
      <c r="F88" s="14">
        <v>3</v>
      </c>
      <c r="G88" s="14">
        <v>2</v>
      </c>
      <c r="H88" s="14">
        <v>2</v>
      </c>
      <c r="I88" s="14">
        <v>2</v>
      </c>
      <c r="J88" s="14">
        <v>2</v>
      </c>
      <c r="K88" s="14">
        <v>2</v>
      </c>
      <c r="L88" s="14">
        <v>3</v>
      </c>
      <c r="M88" s="14">
        <v>3</v>
      </c>
      <c r="N88" s="14">
        <v>2</v>
      </c>
      <c r="O88" s="14">
        <v>3</v>
      </c>
      <c r="P88" s="14">
        <v>3</v>
      </c>
      <c r="Q88" s="14">
        <v>2</v>
      </c>
      <c r="R88" s="14">
        <v>2</v>
      </c>
    </row>
    <row r="89" spans="1:18" x14ac:dyDescent="0.35">
      <c r="A89" s="14" t="s">
        <v>143</v>
      </c>
      <c r="B89" s="14">
        <v>3</v>
      </c>
      <c r="C89" s="14">
        <v>2</v>
      </c>
      <c r="D89" s="14">
        <v>3</v>
      </c>
      <c r="E89" s="14">
        <v>2</v>
      </c>
      <c r="F89" s="14">
        <v>3</v>
      </c>
      <c r="G89" s="14">
        <v>2</v>
      </c>
      <c r="H89" s="14">
        <v>3</v>
      </c>
      <c r="I89" s="14">
        <v>2</v>
      </c>
      <c r="J89" s="14">
        <v>3</v>
      </c>
      <c r="K89" s="14">
        <v>2</v>
      </c>
      <c r="L89" s="14">
        <v>2</v>
      </c>
      <c r="M89" s="14">
        <v>2</v>
      </c>
      <c r="N89" s="14">
        <v>2</v>
      </c>
      <c r="O89" s="14">
        <v>2</v>
      </c>
      <c r="P89" s="14">
        <v>3</v>
      </c>
      <c r="Q89" s="14">
        <v>2</v>
      </c>
      <c r="R89" s="14">
        <v>2</v>
      </c>
    </row>
    <row r="90" spans="1:18" x14ac:dyDescent="0.35">
      <c r="A90" s="14" t="s">
        <v>146</v>
      </c>
      <c r="B90" s="14">
        <v>2</v>
      </c>
      <c r="C90" s="14">
        <v>2</v>
      </c>
      <c r="D90" s="14">
        <v>2</v>
      </c>
      <c r="E90" s="14">
        <v>2</v>
      </c>
      <c r="F90" s="14">
        <v>2</v>
      </c>
      <c r="G90" s="14">
        <v>2</v>
      </c>
      <c r="H90" s="14">
        <v>3</v>
      </c>
      <c r="I90" s="14">
        <v>2</v>
      </c>
      <c r="J90" s="14">
        <v>2</v>
      </c>
      <c r="K90" s="14">
        <v>2</v>
      </c>
      <c r="L90" s="14">
        <v>2</v>
      </c>
      <c r="M90" s="14">
        <v>3</v>
      </c>
      <c r="N90" s="14">
        <v>2</v>
      </c>
      <c r="O90" s="14">
        <v>2</v>
      </c>
      <c r="P90" s="14">
        <v>2</v>
      </c>
      <c r="Q90" s="14">
        <v>2</v>
      </c>
      <c r="R90" s="14">
        <v>2</v>
      </c>
    </row>
    <row r="91" spans="1:18" x14ac:dyDescent="0.35">
      <c r="A91" s="14" t="s">
        <v>149</v>
      </c>
      <c r="B91" s="14">
        <v>2</v>
      </c>
      <c r="C91" s="14">
        <v>3</v>
      </c>
      <c r="D91" s="14">
        <v>3</v>
      </c>
      <c r="E91" s="14">
        <v>2</v>
      </c>
      <c r="F91" s="14">
        <v>3</v>
      </c>
      <c r="G91" s="14">
        <v>2</v>
      </c>
      <c r="H91" s="14">
        <v>2</v>
      </c>
      <c r="I91" s="14">
        <v>2</v>
      </c>
      <c r="J91" s="14">
        <v>3</v>
      </c>
      <c r="K91" s="14">
        <v>2</v>
      </c>
      <c r="L91" s="14">
        <v>2</v>
      </c>
      <c r="M91" s="14">
        <v>3</v>
      </c>
      <c r="N91" s="14">
        <v>2</v>
      </c>
      <c r="O91" s="14">
        <v>3</v>
      </c>
      <c r="P91" s="14">
        <v>3</v>
      </c>
      <c r="Q91" s="14">
        <v>2</v>
      </c>
      <c r="R91" s="14">
        <v>2</v>
      </c>
    </row>
    <row r="92" spans="1:18" x14ac:dyDescent="0.35">
      <c r="A92" s="14" t="s">
        <v>151</v>
      </c>
      <c r="B92" s="14">
        <v>3</v>
      </c>
      <c r="C92" s="14">
        <v>2</v>
      </c>
      <c r="D92" s="14">
        <v>2</v>
      </c>
      <c r="E92" s="14">
        <v>3</v>
      </c>
      <c r="F92" s="14">
        <v>2</v>
      </c>
      <c r="G92" s="14">
        <v>2</v>
      </c>
      <c r="H92" s="14">
        <v>2</v>
      </c>
      <c r="I92" s="14">
        <v>3</v>
      </c>
      <c r="J92" s="14">
        <v>2</v>
      </c>
      <c r="K92" s="14">
        <v>3</v>
      </c>
      <c r="L92" s="14">
        <v>2</v>
      </c>
      <c r="M92" s="14">
        <v>2</v>
      </c>
      <c r="N92" s="14">
        <v>2</v>
      </c>
      <c r="O92" s="14">
        <v>2</v>
      </c>
      <c r="P92" s="14">
        <v>2</v>
      </c>
      <c r="Q92" s="14">
        <v>3</v>
      </c>
      <c r="R92" s="14">
        <v>3</v>
      </c>
    </row>
    <row r="93" spans="1:18" x14ac:dyDescent="0.35">
      <c r="A93" s="14" t="s">
        <v>154</v>
      </c>
      <c r="B93" s="14">
        <v>2</v>
      </c>
      <c r="C93" s="14">
        <v>2</v>
      </c>
      <c r="D93" s="14">
        <v>2</v>
      </c>
      <c r="E93" s="14">
        <v>2</v>
      </c>
      <c r="F93" s="14">
        <v>2</v>
      </c>
      <c r="G93" s="14">
        <v>2</v>
      </c>
      <c r="H93" s="14">
        <v>2</v>
      </c>
      <c r="I93" s="14">
        <v>2</v>
      </c>
      <c r="J93" s="14">
        <v>3</v>
      </c>
      <c r="K93" s="14">
        <v>2</v>
      </c>
      <c r="L93" s="14">
        <v>3</v>
      </c>
      <c r="M93" s="14">
        <v>2</v>
      </c>
      <c r="N93" s="14">
        <v>3</v>
      </c>
      <c r="O93" s="14">
        <v>2</v>
      </c>
      <c r="P93" s="14">
        <v>2</v>
      </c>
      <c r="Q93" s="14">
        <v>2</v>
      </c>
      <c r="R93" s="14">
        <v>3</v>
      </c>
    </row>
    <row r="94" spans="1:18" x14ac:dyDescent="0.35">
      <c r="A94" s="14" t="s">
        <v>157</v>
      </c>
      <c r="B94" s="14">
        <v>3</v>
      </c>
      <c r="C94" s="14">
        <v>3</v>
      </c>
      <c r="D94" s="14">
        <v>2</v>
      </c>
      <c r="E94" s="14">
        <v>3</v>
      </c>
      <c r="F94" s="14">
        <v>2</v>
      </c>
      <c r="G94" s="14">
        <v>3</v>
      </c>
      <c r="H94" s="14">
        <v>2</v>
      </c>
      <c r="I94" s="14">
        <v>3</v>
      </c>
      <c r="J94" s="14">
        <v>2</v>
      </c>
      <c r="K94" s="14">
        <v>2</v>
      </c>
      <c r="L94" s="14">
        <v>3</v>
      </c>
      <c r="M94" s="14">
        <v>2</v>
      </c>
      <c r="N94" s="14">
        <v>2</v>
      </c>
      <c r="O94" s="14">
        <v>2</v>
      </c>
      <c r="P94" s="14">
        <v>2</v>
      </c>
      <c r="Q94" s="14">
        <v>3</v>
      </c>
      <c r="R94" s="14">
        <v>2</v>
      </c>
    </row>
    <row r="95" spans="1:18" x14ac:dyDescent="0.35">
      <c r="A95" s="14" t="s">
        <v>160</v>
      </c>
      <c r="B95" s="14">
        <v>2</v>
      </c>
      <c r="C95" s="14">
        <v>2</v>
      </c>
      <c r="D95" s="14">
        <v>3</v>
      </c>
      <c r="E95" s="14">
        <v>2</v>
      </c>
      <c r="F95" s="14">
        <v>3</v>
      </c>
      <c r="G95" s="14">
        <v>3</v>
      </c>
      <c r="H95" s="14">
        <v>2</v>
      </c>
      <c r="I95" s="14">
        <v>2</v>
      </c>
      <c r="J95" s="14">
        <v>2</v>
      </c>
      <c r="K95" s="14">
        <v>2</v>
      </c>
      <c r="L95" s="14">
        <v>3</v>
      </c>
      <c r="M95" s="14">
        <v>3</v>
      </c>
      <c r="N95" s="14">
        <v>2</v>
      </c>
      <c r="O95" s="14">
        <v>3</v>
      </c>
      <c r="P95" s="14">
        <v>3</v>
      </c>
      <c r="Q95" s="14">
        <v>2</v>
      </c>
      <c r="R95" s="14">
        <v>2</v>
      </c>
    </row>
    <row r="96" spans="1:18" x14ac:dyDescent="0.35">
      <c r="A96" s="14" t="s">
        <v>163</v>
      </c>
      <c r="B96" s="14">
        <v>2</v>
      </c>
      <c r="C96" s="14">
        <v>2</v>
      </c>
      <c r="D96" s="14">
        <v>3</v>
      </c>
      <c r="E96" s="14">
        <v>2</v>
      </c>
      <c r="F96" s="14">
        <v>3</v>
      </c>
      <c r="G96" s="14">
        <v>2</v>
      </c>
      <c r="H96" s="14">
        <v>2</v>
      </c>
      <c r="I96" s="14">
        <v>2</v>
      </c>
      <c r="J96" s="14">
        <v>2</v>
      </c>
      <c r="K96" s="14">
        <v>2</v>
      </c>
      <c r="L96" s="14">
        <v>2</v>
      </c>
      <c r="M96" s="14">
        <v>3</v>
      </c>
      <c r="N96" s="14">
        <v>2</v>
      </c>
      <c r="O96" s="14">
        <v>3</v>
      </c>
      <c r="P96" s="14">
        <v>3</v>
      </c>
      <c r="Q96" s="14">
        <v>2</v>
      </c>
      <c r="R96" s="14">
        <v>2</v>
      </c>
    </row>
    <row r="97" spans="1:18" x14ac:dyDescent="0.35">
      <c r="A97" s="14" t="s">
        <v>166</v>
      </c>
      <c r="B97" s="14">
        <v>2</v>
      </c>
      <c r="C97" s="14">
        <v>2</v>
      </c>
      <c r="D97" s="14">
        <v>2</v>
      </c>
      <c r="E97" s="14">
        <v>2</v>
      </c>
      <c r="F97" s="14">
        <v>2</v>
      </c>
      <c r="G97" s="14">
        <v>2</v>
      </c>
      <c r="H97" s="14">
        <v>2</v>
      </c>
      <c r="I97" s="14">
        <v>2</v>
      </c>
      <c r="J97" s="14">
        <v>2</v>
      </c>
      <c r="K97" s="14">
        <v>2</v>
      </c>
      <c r="L97" s="14">
        <v>2</v>
      </c>
      <c r="M97" s="14">
        <v>2</v>
      </c>
      <c r="N97" s="14">
        <v>2</v>
      </c>
      <c r="O97" s="14">
        <v>2</v>
      </c>
      <c r="P97" s="14">
        <v>2</v>
      </c>
      <c r="Q97" s="14">
        <v>2</v>
      </c>
      <c r="R97" s="14">
        <v>2</v>
      </c>
    </row>
    <row r="98" spans="1:18" x14ac:dyDescent="0.35">
      <c r="A98" s="14" t="s">
        <v>169</v>
      </c>
      <c r="B98" s="14">
        <v>2</v>
      </c>
      <c r="C98" s="14">
        <v>2</v>
      </c>
      <c r="D98" s="14">
        <v>2</v>
      </c>
      <c r="E98" s="14">
        <v>2</v>
      </c>
      <c r="F98" s="14">
        <v>2</v>
      </c>
      <c r="G98" s="14">
        <v>3</v>
      </c>
      <c r="H98" s="14">
        <v>3</v>
      </c>
      <c r="I98" s="14">
        <v>2</v>
      </c>
      <c r="J98" s="14">
        <v>2</v>
      </c>
      <c r="K98" s="14">
        <v>2</v>
      </c>
      <c r="L98" s="14">
        <v>3</v>
      </c>
      <c r="M98" s="14">
        <v>2</v>
      </c>
      <c r="N98" s="14">
        <v>3</v>
      </c>
      <c r="O98" s="14">
        <v>2</v>
      </c>
      <c r="P98" s="14">
        <v>3</v>
      </c>
      <c r="Q98" s="14">
        <v>2</v>
      </c>
      <c r="R98" s="14">
        <v>2</v>
      </c>
    </row>
    <row r="99" spans="1:18" x14ac:dyDescent="0.35">
      <c r="A99" s="14" t="s">
        <v>172</v>
      </c>
      <c r="B99" s="14">
        <v>3</v>
      </c>
      <c r="C99" s="14">
        <v>3</v>
      </c>
      <c r="D99" s="14">
        <v>2</v>
      </c>
      <c r="E99" s="14">
        <v>2</v>
      </c>
      <c r="F99" s="14">
        <v>2</v>
      </c>
      <c r="G99" s="14">
        <v>2</v>
      </c>
      <c r="H99" s="14">
        <v>2</v>
      </c>
      <c r="I99" s="14">
        <v>3</v>
      </c>
      <c r="J99" s="14">
        <v>3</v>
      </c>
      <c r="K99" s="14">
        <v>2</v>
      </c>
      <c r="L99" s="14">
        <v>2</v>
      </c>
      <c r="M99" s="14">
        <v>2</v>
      </c>
      <c r="N99" s="14">
        <v>2</v>
      </c>
      <c r="O99" s="14">
        <v>2</v>
      </c>
      <c r="P99" s="14">
        <v>2</v>
      </c>
      <c r="Q99" s="14">
        <v>3</v>
      </c>
      <c r="R99" s="14">
        <v>2</v>
      </c>
    </row>
    <row r="100" spans="1:18" x14ac:dyDescent="0.35">
      <c r="A100" s="14" t="s">
        <v>175</v>
      </c>
      <c r="B100" s="14">
        <v>2</v>
      </c>
      <c r="C100" s="14">
        <v>2</v>
      </c>
      <c r="D100" s="14">
        <v>3</v>
      </c>
      <c r="E100" s="14">
        <v>3</v>
      </c>
      <c r="F100" s="14">
        <v>3</v>
      </c>
      <c r="G100" s="14">
        <v>2</v>
      </c>
      <c r="H100" s="14">
        <v>2</v>
      </c>
      <c r="I100" s="14">
        <v>2</v>
      </c>
      <c r="J100" s="14">
        <v>2</v>
      </c>
      <c r="K100" s="14">
        <v>3</v>
      </c>
      <c r="L100" s="14">
        <v>2</v>
      </c>
      <c r="M100" s="14">
        <v>3</v>
      </c>
      <c r="N100" s="14">
        <v>2</v>
      </c>
      <c r="O100" s="14">
        <v>3</v>
      </c>
      <c r="P100" s="14">
        <v>3</v>
      </c>
      <c r="Q100" s="14">
        <v>2</v>
      </c>
      <c r="R100" s="14">
        <v>3</v>
      </c>
    </row>
    <row r="101" spans="1:18" x14ac:dyDescent="0.35">
      <c r="A101" s="14" t="s">
        <v>178</v>
      </c>
      <c r="B101" s="14">
        <v>3</v>
      </c>
      <c r="C101" s="14">
        <v>2</v>
      </c>
      <c r="D101" s="14">
        <v>2</v>
      </c>
      <c r="E101" s="14">
        <v>2</v>
      </c>
      <c r="F101" s="14">
        <v>2</v>
      </c>
      <c r="G101" s="14">
        <v>3</v>
      </c>
      <c r="H101" s="14">
        <v>2</v>
      </c>
      <c r="I101" s="14">
        <v>3</v>
      </c>
      <c r="J101" s="14">
        <v>2</v>
      </c>
      <c r="K101" s="14">
        <v>2</v>
      </c>
      <c r="L101" s="14">
        <v>3</v>
      </c>
      <c r="M101" s="14">
        <v>2</v>
      </c>
      <c r="N101" s="14">
        <v>2</v>
      </c>
      <c r="O101" s="14">
        <v>2</v>
      </c>
      <c r="P101" s="14">
        <v>2</v>
      </c>
      <c r="Q101" s="14">
        <v>3</v>
      </c>
      <c r="R101" s="14">
        <v>2</v>
      </c>
    </row>
    <row r="102" spans="1:18" x14ac:dyDescent="0.35">
      <c r="A102" s="14" t="s">
        <v>181</v>
      </c>
      <c r="B102" s="14">
        <v>2</v>
      </c>
      <c r="C102" s="14">
        <v>2</v>
      </c>
      <c r="D102" s="14">
        <v>2</v>
      </c>
      <c r="E102" s="14">
        <v>2</v>
      </c>
      <c r="F102" s="14">
        <v>2</v>
      </c>
      <c r="G102" s="14">
        <v>2</v>
      </c>
      <c r="H102" s="14">
        <v>2</v>
      </c>
      <c r="I102" s="14">
        <v>2</v>
      </c>
      <c r="J102" s="14">
        <v>2</v>
      </c>
      <c r="K102" s="14">
        <v>2</v>
      </c>
      <c r="L102" s="14">
        <v>2</v>
      </c>
      <c r="M102" s="14">
        <v>2</v>
      </c>
      <c r="N102" s="14">
        <v>2</v>
      </c>
      <c r="O102" s="14">
        <v>2</v>
      </c>
      <c r="P102" s="14">
        <v>2</v>
      </c>
      <c r="Q102" s="14">
        <v>2</v>
      </c>
      <c r="R102" s="14">
        <v>2</v>
      </c>
    </row>
    <row r="103" spans="1:18" x14ac:dyDescent="0.35">
      <c r="A103" s="14" t="s">
        <v>227</v>
      </c>
      <c r="B103" s="14">
        <v>2</v>
      </c>
      <c r="C103" s="14">
        <v>1</v>
      </c>
      <c r="D103" s="14">
        <v>2</v>
      </c>
      <c r="E103" s="14">
        <v>2</v>
      </c>
      <c r="F103" s="14">
        <v>1</v>
      </c>
      <c r="G103" s="14">
        <v>2</v>
      </c>
      <c r="H103" s="14">
        <v>2</v>
      </c>
      <c r="I103" s="14">
        <v>2</v>
      </c>
      <c r="J103" s="14">
        <v>1</v>
      </c>
      <c r="K103" s="14">
        <v>2</v>
      </c>
      <c r="L103" s="14">
        <v>2</v>
      </c>
      <c r="M103" s="14">
        <v>2</v>
      </c>
      <c r="N103" s="14">
        <v>1</v>
      </c>
      <c r="O103" s="14">
        <v>2</v>
      </c>
      <c r="P103" s="14">
        <v>1</v>
      </c>
      <c r="Q103" s="14">
        <v>2</v>
      </c>
      <c r="R103" s="14">
        <v>1</v>
      </c>
    </row>
    <row r="104" spans="1:18" x14ac:dyDescent="0.35">
      <c r="A104" s="14" t="s">
        <v>224</v>
      </c>
      <c r="B104" s="14">
        <v>3</v>
      </c>
      <c r="C104" s="14">
        <v>2</v>
      </c>
      <c r="D104" s="14">
        <v>2</v>
      </c>
      <c r="E104" s="14">
        <v>2</v>
      </c>
      <c r="F104" s="14">
        <v>2</v>
      </c>
      <c r="G104" s="14">
        <v>2</v>
      </c>
      <c r="H104" s="14">
        <v>1</v>
      </c>
      <c r="I104" s="14">
        <v>3</v>
      </c>
      <c r="J104" s="14">
        <v>2</v>
      </c>
      <c r="K104" s="14">
        <v>2</v>
      </c>
      <c r="L104" s="14">
        <v>2</v>
      </c>
      <c r="M104" s="14">
        <v>2</v>
      </c>
      <c r="N104" s="14">
        <v>1</v>
      </c>
      <c r="O104" s="14">
        <v>2</v>
      </c>
      <c r="P104" s="14">
        <v>2</v>
      </c>
      <c r="Q104" s="14">
        <v>3</v>
      </c>
      <c r="R104" s="14">
        <v>2</v>
      </c>
    </row>
    <row r="105" spans="1:18" x14ac:dyDescent="0.35">
      <c r="A105" s="14" t="s">
        <v>248</v>
      </c>
      <c r="B105" s="14">
        <v>1</v>
      </c>
      <c r="C105" s="14">
        <v>2</v>
      </c>
      <c r="D105" s="14">
        <v>1</v>
      </c>
      <c r="E105" s="14">
        <v>2</v>
      </c>
      <c r="F105" s="14">
        <v>2</v>
      </c>
      <c r="G105" s="14">
        <v>1</v>
      </c>
      <c r="H105" s="14">
        <v>2</v>
      </c>
      <c r="I105" s="14">
        <v>2</v>
      </c>
      <c r="J105" s="14">
        <v>2</v>
      </c>
      <c r="K105" s="14">
        <v>1</v>
      </c>
      <c r="L105" s="14">
        <v>1</v>
      </c>
      <c r="M105" s="14">
        <v>2</v>
      </c>
      <c r="N105" s="14">
        <v>2</v>
      </c>
      <c r="O105" s="14">
        <v>1</v>
      </c>
      <c r="P105" s="14">
        <v>2</v>
      </c>
      <c r="Q105" s="14">
        <v>2</v>
      </c>
      <c r="R105" s="14">
        <v>1</v>
      </c>
    </row>
    <row r="106" spans="1:18" x14ac:dyDescent="0.35">
      <c r="A106" s="14" t="s">
        <v>226</v>
      </c>
      <c r="B106" s="14">
        <v>2</v>
      </c>
      <c r="C106" s="14">
        <v>3</v>
      </c>
      <c r="D106" s="14">
        <v>2</v>
      </c>
      <c r="E106" s="14">
        <v>2</v>
      </c>
      <c r="F106" s="14">
        <v>2</v>
      </c>
      <c r="G106" s="14">
        <v>2</v>
      </c>
      <c r="H106" s="14">
        <v>1</v>
      </c>
      <c r="I106" s="14">
        <v>2</v>
      </c>
      <c r="J106" s="14">
        <v>3</v>
      </c>
      <c r="K106" s="14">
        <v>2</v>
      </c>
      <c r="L106" s="14">
        <v>2</v>
      </c>
      <c r="M106" s="14">
        <v>2</v>
      </c>
      <c r="N106" s="14">
        <v>1</v>
      </c>
      <c r="O106" s="14">
        <v>2</v>
      </c>
      <c r="P106" s="14">
        <v>2</v>
      </c>
      <c r="Q106" s="14">
        <v>2</v>
      </c>
      <c r="R106" s="14">
        <v>2</v>
      </c>
    </row>
    <row r="107" spans="1:18" x14ac:dyDescent="0.35">
      <c r="A107" s="14" t="s">
        <v>225</v>
      </c>
      <c r="B107" s="14">
        <v>3</v>
      </c>
      <c r="C107" s="14">
        <v>2</v>
      </c>
      <c r="D107" s="14">
        <v>3</v>
      </c>
      <c r="E107" s="14">
        <v>2</v>
      </c>
      <c r="F107" s="14">
        <v>3</v>
      </c>
      <c r="G107" s="14">
        <v>2</v>
      </c>
      <c r="H107" s="14">
        <v>2</v>
      </c>
      <c r="I107" s="14">
        <v>3</v>
      </c>
      <c r="J107" s="14">
        <v>2</v>
      </c>
      <c r="K107" s="14">
        <v>2</v>
      </c>
      <c r="L107" s="14">
        <v>2</v>
      </c>
      <c r="M107" s="14">
        <v>3</v>
      </c>
      <c r="N107" s="14">
        <v>2</v>
      </c>
      <c r="O107" s="14">
        <v>3</v>
      </c>
      <c r="P107" s="14">
        <v>2</v>
      </c>
      <c r="Q107" s="14">
        <v>3</v>
      </c>
      <c r="R107" s="14">
        <v>2</v>
      </c>
    </row>
    <row r="111" spans="1:18" x14ac:dyDescent="0.35">
      <c r="A111" s="70" t="s">
        <v>76</v>
      </c>
      <c r="B111" s="70"/>
      <c r="C111" s="70"/>
      <c r="D111" s="70"/>
      <c r="E111" s="70"/>
      <c r="F111" s="70"/>
      <c r="G111" s="70"/>
      <c r="H111" s="70"/>
      <c r="I111" s="70"/>
      <c r="J111" s="70"/>
      <c r="K111" s="70"/>
      <c r="L111" s="70"/>
      <c r="M111" s="70"/>
      <c r="N111" s="70"/>
      <c r="O111" s="70"/>
      <c r="P111" s="70"/>
      <c r="Q111" s="70"/>
      <c r="R111" s="70"/>
    </row>
    <row r="112" spans="1:18" x14ac:dyDescent="0.35">
      <c r="A112" s="45" t="s">
        <v>106</v>
      </c>
      <c r="B112" s="45" t="s">
        <v>110</v>
      </c>
      <c r="C112" s="45" t="s">
        <v>111</v>
      </c>
      <c r="D112" s="45" t="s">
        <v>112</v>
      </c>
      <c r="E112" s="45" t="s">
        <v>113</v>
      </c>
      <c r="F112" s="45" t="s">
        <v>114</v>
      </c>
      <c r="G112" s="45" t="s">
        <v>115</v>
      </c>
      <c r="H112" s="45" t="s">
        <v>116</v>
      </c>
      <c r="I112" s="45" t="s">
        <v>117</v>
      </c>
      <c r="J112" s="45" t="s">
        <v>118</v>
      </c>
      <c r="K112" s="45" t="s">
        <v>119</v>
      </c>
      <c r="L112" s="45" t="s">
        <v>120</v>
      </c>
      <c r="M112" s="45" t="s">
        <v>121</v>
      </c>
      <c r="N112" s="45" t="s">
        <v>122</v>
      </c>
      <c r="O112" s="45" t="s">
        <v>124</v>
      </c>
      <c r="P112" s="45" t="s">
        <v>125</v>
      </c>
      <c r="Q112" s="45" t="s">
        <v>126</v>
      </c>
      <c r="R112" s="45" t="s">
        <v>127</v>
      </c>
    </row>
    <row r="113" spans="1:18" x14ac:dyDescent="0.35">
      <c r="A113" s="14" t="s">
        <v>130</v>
      </c>
      <c r="B113" s="14">
        <v>3</v>
      </c>
      <c r="C113" s="14">
        <v>2</v>
      </c>
      <c r="D113" s="14">
        <v>2</v>
      </c>
      <c r="E113" s="14">
        <v>2</v>
      </c>
      <c r="F113" s="14">
        <v>2</v>
      </c>
      <c r="G113" s="14">
        <v>3</v>
      </c>
      <c r="H113" s="14">
        <v>2</v>
      </c>
      <c r="I113" s="14">
        <v>3</v>
      </c>
      <c r="J113" s="14">
        <v>2</v>
      </c>
      <c r="K113" s="14">
        <v>3</v>
      </c>
      <c r="L113" s="14">
        <v>3</v>
      </c>
      <c r="M113" s="14">
        <v>2</v>
      </c>
      <c r="N113" s="14">
        <v>2</v>
      </c>
      <c r="O113" s="14">
        <v>2</v>
      </c>
      <c r="P113" s="14">
        <v>2</v>
      </c>
      <c r="Q113" s="14">
        <v>3</v>
      </c>
      <c r="R113" s="14">
        <v>2</v>
      </c>
    </row>
    <row r="114" spans="1:18" x14ac:dyDescent="0.35">
      <c r="A114" s="14" t="s">
        <v>134</v>
      </c>
      <c r="B114" s="14">
        <v>3</v>
      </c>
      <c r="C114" s="14">
        <v>2</v>
      </c>
      <c r="D114" s="14">
        <v>3</v>
      </c>
      <c r="E114" s="14">
        <v>2</v>
      </c>
      <c r="F114" s="14">
        <v>3</v>
      </c>
      <c r="G114" s="14">
        <v>2</v>
      </c>
      <c r="H114" s="14">
        <v>2</v>
      </c>
      <c r="I114" s="14">
        <v>3</v>
      </c>
      <c r="J114" s="14">
        <v>2</v>
      </c>
      <c r="K114" s="14">
        <v>2</v>
      </c>
      <c r="L114" s="14">
        <v>2</v>
      </c>
      <c r="M114" s="14">
        <v>3</v>
      </c>
      <c r="N114" s="14">
        <v>2</v>
      </c>
      <c r="O114" s="14">
        <v>3</v>
      </c>
      <c r="P114" s="14">
        <v>3</v>
      </c>
      <c r="Q114" s="14">
        <v>3</v>
      </c>
      <c r="R114" s="14">
        <v>2</v>
      </c>
    </row>
    <row r="115" spans="1:18" x14ac:dyDescent="0.35">
      <c r="A115" s="14" t="s">
        <v>241</v>
      </c>
      <c r="B115" s="14">
        <v>2</v>
      </c>
      <c r="C115" s="14">
        <v>3</v>
      </c>
      <c r="D115" s="14">
        <v>3</v>
      </c>
      <c r="E115" s="14">
        <v>2</v>
      </c>
      <c r="F115" s="14">
        <v>3</v>
      </c>
      <c r="G115" s="14">
        <v>2</v>
      </c>
      <c r="H115" s="14">
        <v>3</v>
      </c>
      <c r="I115" s="14">
        <v>3</v>
      </c>
      <c r="J115" s="14">
        <v>2</v>
      </c>
      <c r="K115" s="14">
        <v>3</v>
      </c>
      <c r="L115" s="14">
        <v>2</v>
      </c>
      <c r="M115" s="14">
        <v>3</v>
      </c>
      <c r="N115" s="14">
        <v>2</v>
      </c>
      <c r="O115" s="14">
        <v>3</v>
      </c>
      <c r="P115" s="14">
        <v>3</v>
      </c>
      <c r="Q115" s="14">
        <v>2</v>
      </c>
      <c r="R115" s="14">
        <v>3</v>
      </c>
    </row>
    <row r="116" spans="1:18" x14ac:dyDescent="0.35">
      <c r="A116" s="14" t="s">
        <v>244</v>
      </c>
      <c r="B116" s="14">
        <v>3</v>
      </c>
      <c r="C116" s="14">
        <v>2</v>
      </c>
      <c r="D116" s="14">
        <v>3</v>
      </c>
      <c r="E116" s="14">
        <v>2</v>
      </c>
      <c r="F116" s="14">
        <v>3</v>
      </c>
      <c r="G116" s="14">
        <v>2</v>
      </c>
      <c r="H116" s="14">
        <v>2</v>
      </c>
      <c r="I116" s="14">
        <v>2</v>
      </c>
      <c r="J116" s="14">
        <v>3</v>
      </c>
      <c r="K116" s="14">
        <v>2</v>
      </c>
      <c r="L116" s="14">
        <v>3</v>
      </c>
      <c r="M116" s="14">
        <v>2</v>
      </c>
      <c r="N116" s="14">
        <v>2</v>
      </c>
      <c r="O116" s="14">
        <v>2</v>
      </c>
      <c r="P116" s="14">
        <v>2</v>
      </c>
      <c r="Q116" s="14">
        <v>3</v>
      </c>
      <c r="R116" s="14">
        <v>2</v>
      </c>
    </row>
    <row r="117" spans="1:18" x14ac:dyDescent="0.35">
      <c r="A117" s="14" t="s">
        <v>137</v>
      </c>
      <c r="B117" s="14">
        <v>2</v>
      </c>
      <c r="C117" s="14">
        <v>2</v>
      </c>
      <c r="D117" s="14">
        <v>2</v>
      </c>
      <c r="E117" s="14">
        <v>3</v>
      </c>
      <c r="F117" s="14">
        <v>2</v>
      </c>
      <c r="G117" s="14">
        <v>2</v>
      </c>
      <c r="H117" s="14">
        <v>2</v>
      </c>
      <c r="I117" s="14">
        <v>2</v>
      </c>
      <c r="J117" s="14">
        <v>2</v>
      </c>
      <c r="K117" s="14">
        <v>3</v>
      </c>
      <c r="L117" s="14">
        <v>2</v>
      </c>
      <c r="M117" s="14">
        <v>2</v>
      </c>
      <c r="N117" s="14">
        <v>2</v>
      </c>
      <c r="O117" s="14">
        <v>2</v>
      </c>
      <c r="P117" s="14">
        <v>2</v>
      </c>
      <c r="Q117" s="14">
        <v>2</v>
      </c>
      <c r="R117" s="14">
        <v>3</v>
      </c>
    </row>
    <row r="121" spans="1:18" x14ac:dyDescent="0.35">
      <c r="A121" s="70" t="s">
        <v>251</v>
      </c>
      <c r="B121" s="70"/>
      <c r="C121" s="70"/>
      <c r="D121" s="70"/>
      <c r="E121" s="70"/>
      <c r="F121" s="70"/>
      <c r="G121" s="70"/>
      <c r="H121" s="70"/>
      <c r="I121" s="70"/>
      <c r="J121" s="70"/>
      <c r="K121" s="70"/>
      <c r="L121" s="70"/>
      <c r="M121" s="70"/>
    </row>
    <row r="122" spans="1:18" x14ac:dyDescent="0.35">
      <c r="A122" s="43" t="s">
        <v>236</v>
      </c>
      <c r="B122" s="45" t="s">
        <v>106</v>
      </c>
      <c r="C122" s="45" t="s">
        <v>49</v>
      </c>
      <c r="D122" s="45" t="s">
        <v>53</v>
      </c>
      <c r="E122" s="45" t="s">
        <v>58</v>
      </c>
      <c r="F122" s="45" t="s">
        <v>59</v>
      </c>
      <c r="G122" s="45" t="s">
        <v>88</v>
      </c>
      <c r="H122" s="45" t="s">
        <v>184</v>
      </c>
      <c r="I122" s="45" t="s">
        <v>185</v>
      </c>
      <c r="J122" s="42" t="s">
        <v>86</v>
      </c>
      <c r="K122" s="42" t="s">
        <v>87</v>
      </c>
      <c r="L122" s="42" t="s">
        <v>104</v>
      </c>
      <c r="M122" s="42" t="s">
        <v>191</v>
      </c>
    </row>
    <row r="123" spans="1:18" x14ac:dyDescent="0.35">
      <c r="A123" s="4">
        <v>1</v>
      </c>
      <c r="B123" s="14" t="s">
        <v>130</v>
      </c>
      <c r="C123" s="4">
        <f t="shared" ref="C123:C147" si="0">SQRT(SUMXMY2(B85:R85, $B$58:$R$58))</f>
        <v>3.4641016151377544</v>
      </c>
      <c r="D123" s="4">
        <f t="shared" ref="D123:D147" si="1">SQRT(SUMXMY2(B85:R85, $B$59:$R$59))</f>
        <v>2.4494897427831779</v>
      </c>
      <c r="E123" s="4">
        <f t="shared" ref="E123:E147" si="2">SQRT(SUMXMY2(B85:R85, $B$60:$R$60))</f>
        <v>0</v>
      </c>
      <c r="F123" s="4">
        <f t="shared" ref="F123:F147" si="3">SQRT(SUMXMY2(B85:R85, $B$61:$R$61))</f>
        <v>3.4641016151377544</v>
      </c>
      <c r="G123" s="4">
        <f t="shared" ref="G123:G147" si="4">SQRT(SUMXMY2(B85:R85, $B$62:$R$62))</f>
        <v>3</v>
      </c>
      <c r="H123" s="4">
        <f t="shared" ref="H123:H147" si="5">SQRT(SUMXMY2(B85:R85, $B$63:$R$63))</f>
        <v>2.4494897427831779</v>
      </c>
      <c r="I123" s="4">
        <f t="shared" ref="I123:I147" si="6">SQRT(SUMXMY2(B85:R85, $B$64:$R$64))</f>
        <v>2.8284271247461903</v>
      </c>
      <c r="J123" s="4">
        <f>MIN(C123:I123)</f>
        <v>0</v>
      </c>
      <c r="K123" s="4" t="str">
        <f>"C"&amp;MATCH(J123,C123:I123,0)</f>
        <v>C3</v>
      </c>
      <c r="L123" s="14">
        <f>J123^2</f>
        <v>0</v>
      </c>
      <c r="M123" s="14" t="e">
        <f>SUM(L123:L147)</f>
        <v>#DIV/0!</v>
      </c>
    </row>
    <row r="124" spans="1:18" x14ac:dyDescent="0.35">
      <c r="A124" s="4">
        <v>2</v>
      </c>
      <c r="B124" s="14" t="s">
        <v>134</v>
      </c>
      <c r="C124" s="4">
        <f t="shared" si="0"/>
        <v>2.4494897427831779</v>
      </c>
      <c r="D124" s="4">
        <f t="shared" si="1"/>
        <v>2.4494897427831779</v>
      </c>
      <c r="E124" s="4">
        <f t="shared" si="2"/>
        <v>3.4641016151377544</v>
      </c>
      <c r="F124" s="4">
        <f t="shared" si="3"/>
        <v>0</v>
      </c>
      <c r="G124" s="4">
        <f t="shared" si="4"/>
        <v>3</v>
      </c>
      <c r="H124" s="4">
        <f t="shared" si="5"/>
        <v>2.4494897427831779</v>
      </c>
      <c r="I124" s="4">
        <f t="shared" si="6"/>
        <v>2</v>
      </c>
      <c r="J124" s="4">
        <f t="shared" ref="J124:J147" si="7">MIN(C124:I124)</f>
        <v>0</v>
      </c>
      <c r="K124" s="4" t="str">
        <f t="shared" ref="K124:K147" si="8">"C"&amp;MATCH(J124,C124:I124,0)</f>
        <v>C4</v>
      </c>
      <c r="L124" s="14">
        <f t="shared" ref="L124:L144" si="9">J124^2</f>
        <v>0</v>
      </c>
    </row>
    <row r="125" spans="1:18" x14ac:dyDescent="0.35">
      <c r="A125" s="4">
        <v>3</v>
      </c>
      <c r="B125" s="14" t="s">
        <v>241</v>
      </c>
      <c r="C125" s="4">
        <f t="shared" si="0"/>
        <v>2.6457513110645907</v>
      </c>
      <c r="D125" s="4">
        <f t="shared" si="1"/>
        <v>3.3166247903553998</v>
      </c>
      <c r="E125" s="4">
        <f t="shared" si="2"/>
        <v>3</v>
      </c>
      <c r="F125" s="4">
        <f t="shared" si="3"/>
        <v>3</v>
      </c>
      <c r="G125" s="4">
        <f t="shared" si="4"/>
        <v>0</v>
      </c>
      <c r="H125" s="4">
        <f t="shared" si="5"/>
        <v>3</v>
      </c>
      <c r="I125" s="4">
        <f t="shared" si="6"/>
        <v>3</v>
      </c>
      <c r="J125" s="4">
        <f t="shared" si="7"/>
        <v>0</v>
      </c>
      <c r="K125" s="4" t="str">
        <f t="shared" si="8"/>
        <v>C5</v>
      </c>
      <c r="L125" s="14">
        <f t="shared" si="9"/>
        <v>0</v>
      </c>
    </row>
    <row r="126" spans="1:18" x14ac:dyDescent="0.35">
      <c r="A126" s="4">
        <v>4</v>
      </c>
      <c r="B126" s="14" t="s">
        <v>244</v>
      </c>
      <c r="C126" s="4">
        <f t="shared" si="0"/>
        <v>3.1622776601683795</v>
      </c>
      <c r="D126" s="4">
        <f t="shared" si="1"/>
        <v>2</v>
      </c>
      <c r="E126" s="4">
        <f t="shared" si="2"/>
        <v>2.4494897427831779</v>
      </c>
      <c r="F126" s="4">
        <f t="shared" si="3"/>
        <v>2.4494897427831779</v>
      </c>
      <c r="G126" s="4">
        <f t="shared" si="4"/>
        <v>3</v>
      </c>
      <c r="H126" s="4">
        <f t="shared" si="5"/>
        <v>0</v>
      </c>
      <c r="I126" s="4">
        <f t="shared" si="6"/>
        <v>2.4494897427831779</v>
      </c>
      <c r="J126" s="4">
        <f t="shared" si="7"/>
        <v>0</v>
      </c>
      <c r="K126" s="4" t="str">
        <f t="shared" si="8"/>
        <v>C6</v>
      </c>
      <c r="L126" s="14">
        <f t="shared" si="9"/>
        <v>0</v>
      </c>
    </row>
    <row r="127" spans="1:18" x14ac:dyDescent="0.35">
      <c r="A127" s="4">
        <v>5</v>
      </c>
      <c r="B127" s="14" t="s">
        <v>137</v>
      </c>
      <c r="C127" s="4">
        <f t="shared" si="0"/>
        <v>3.1622776601683795</v>
      </c>
      <c r="D127" s="4">
        <f t="shared" si="1"/>
        <v>2.4494897427831779</v>
      </c>
      <c r="E127" s="4">
        <f t="shared" si="2"/>
        <v>2.8284271247461903</v>
      </c>
      <c r="F127" s="4">
        <f t="shared" si="3"/>
        <v>2</v>
      </c>
      <c r="G127" s="4">
        <f t="shared" si="4"/>
        <v>3</v>
      </c>
      <c r="H127" s="4">
        <f t="shared" si="5"/>
        <v>2.4494897427831779</v>
      </c>
      <c r="I127" s="4">
        <f t="shared" si="6"/>
        <v>0</v>
      </c>
      <c r="J127" s="4">
        <f t="shared" si="7"/>
        <v>0</v>
      </c>
      <c r="K127" s="4" t="str">
        <f t="shared" si="8"/>
        <v>C7</v>
      </c>
      <c r="L127" s="14">
        <f t="shared" si="9"/>
        <v>0</v>
      </c>
    </row>
    <row r="128" spans="1:18" x14ac:dyDescent="0.35">
      <c r="A128" s="4">
        <v>6</v>
      </c>
      <c r="B128" s="14" t="s">
        <v>140</v>
      </c>
      <c r="C128" s="4">
        <f t="shared" si="0"/>
        <v>2.8284271247461903</v>
      </c>
      <c r="D128" s="4">
        <f t="shared" si="1"/>
        <v>2.8284271247461903</v>
      </c>
      <c r="E128" s="4">
        <f t="shared" si="2"/>
        <v>2.8284271247461903</v>
      </c>
      <c r="F128" s="4">
        <f t="shared" si="3"/>
        <v>2.8284271247461903</v>
      </c>
      <c r="G128" s="4">
        <f t="shared" si="4"/>
        <v>2.2360679774997898</v>
      </c>
      <c r="H128" s="4">
        <f t="shared" si="5"/>
        <v>2.4494897427831779</v>
      </c>
      <c r="I128" s="4">
        <f t="shared" si="6"/>
        <v>2.4494897427831779</v>
      </c>
      <c r="J128" s="4">
        <f t="shared" si="7"/>
        <v>2.2360679774997898</v>
      </c>
      <c r="K128" s="4" t="str">
        <f t="shared" si="8"/>
        <v>C5</v>
      </c>
      <c r="L128" s="14">
        <f t="shared" si="9"/>
        <v>5.0000000000000009</v>
      </c>
    </row>
    <row r="129" spans="1:12" x14ac:dyDescent="0.35">
      <c r="A129" s="4">
        <v>7</v>
      </c>
      <c r="B129" s="14" t="s">
        <v>143</v>
      </c>
      <c r="C129" s="4">
        <f t="shared" si="0"/>
        <v>3.6055512754639891</v>
      </c>
      <c r="D129" s="4">
        <f t="shared" si="1"/>
        <v>2.2360679774997898</v>
      </c>
      <c r="E129" s="4">
        <f t="shared" si="2"/>
        <v>2.2360679774997898</v>
      </c>
      <c r="F129" s="4">
        <f t="shared" si="3"/>
        <v>2.6457513110645907</v>
      </c>
      <c r="G129" s="4">
        <f t="shared" si="4"/>
        <v>3.1622776601683795</v>
      </c>
      <c r="H129" s="4">
        <f t="shared" si="5"/>
        <v>1.7320508075688772</v>
      </c>
      <c r="I129" s="4">
        <f t="shared" si="6"/>
        <v>2.2360679774997898</v>
      </c>
      <c r="J129" s="4">
        <f t="shared" si="7"/>
        <v>1.7320508075688772</v>
      </c>
      <c r="K129" s="4" t="str">
        <f t="shared" si="8"/>
        <v>C6</v>
      </c>
      <c r="L129" s="14">
        <f t="shared" si="9"/>
        <v>2.9999999999999996</v>
      </c>
    </row>
    <row r="130" spans="1:12" x14ac:dyDescent="0.35">
      <c r="A130" s="4">
        <v>8</v>
      </c>
      <c r="B130" s="14" t="s">
        <v>146</v>
      </c>
      <c r="C130" s="4">
        <f t="shared" si="0"/>
        <v>2</v>
      </c>
      <c r="D130" s="4">
        <f t="shared" si="1"/>
        <v>2.8284271247461903</v>
      </c>
      <c r="E130" s="4">
        <f t="shared" si="2"/>
        <v>3.1622776601683795</v>
      </c>
      <c r="F130" s="4">
        <f t="shared" si="3"/>
        <v>2.8284271247461903</v>
      </c>
      <c r="G130" s="4">
        <f t="shared" si="4"/>
        <v>1.7320508075688772</v>
      </c>
      <c r="H130" s="4">
        <f t="shared" si="5"/>
        <v>3.4641016151377544</v>
      </c>
      <c r="I130" s="4">
        <f t="shared" si="6"/>
        <v>3.1622776601683795</v>
      </c>
      <c r="J130" s="4">
        <f t="shared" si="7"/>
        <v>1.7320508075688772</v>
      </c>
      <c r="K130" s="4" t="str">
        <f t="shared" si="8"/>
        <v>C5</v>
      </c>
      <c r="L130" s="14">
        <f t="shared" si="9"/>
        <v>2.9999999999999996</v>
      </c>
    </row>
    <row r="131" spans="1:12" x14ac:dyDescent="0.35">
      <c r="A131" s="4">
        <v>9</v>
      </c>
      <c r="B131" s="14" t="s">
        <v>149</v>
      </c>
      <c r="C131" s="4">
        <f t="shared" si="0"/>
        <v>2.8284271247461903</v>
      </c>
      <c r="D131" s="4">
        <f t="shared" si="1"/>
        <v>3.4641016151377544</v>
      </c>
      <c r="E131" s="4">
        <f t="shared" si="2"/>
        <v>3.4641016151377544</v>
      </c>
      <c r="F131" s="4">
        <f t="shared" si="3"/>
        <v>2.4494897427831779</v>
      </c>
      <c r="G131" s="4">
        <f t="shared" si="4"/>
        <v>2.2360679774997898</v>
      </c>
      <c r="H131" s="4">
        <f t="shared" si="5"/>
        <v>2.8284271247461903</v>
      </c>
      <c r="I131" s="4">
        <f t="shared" si="6"/>
        <v>2.8284271247461903</v>
      </c>
      <c r="J131" s="4">
        <f t="shared" si="7"/>
        <v>2.2360679774997898</v>
      </c>
      <c r="K131" s="4" t="str">
        <f t="shared" si="8"/>
        <v>C5</v>
      </c>
      <c r="L131" s="14">
        <f t="shared" si="9"/>
        <v>5.0000000000000009</v>
      </c>
    </row>
    <row r="132" spans="1:12" x14ac:dyDescent="0.35">
      <c r="A132" s="4">
        <v>10</v>
      </c>
      <c r="B132" s="14" t="s">
        <v>151</v>
      </c>
      <c r="C132" s="4">
        <f t="shared" si="0"/>
        <v>1.7320508075688772</v>
      </c>
      <c r="D132" s="4">
        <f t="shared" si="1"/>
        <v>3</v>
      </c>
      <c r="E132" s="4">
        <f t="shared" si="2"/>
        <v>3.6055512754639891</v>
      </c>
      <c r="F132" s="4">
        <f t="shared" si="3"/>
        <v>2.6457513110645907</v>
      </c>
      <c r="G132" s="4">
        <f t="shared" si="4"/>
        <v>2.8284271247461903</v>
      </c>
      <c r="H132" s="4">
        <f t="shared" si="5"/>
        <v>3.3166247903553998</v>
      </c>
      <c r="I132" s="4">
        <f t="shared" si="6"/>
        <v>3.3166247903553998</v>
      </c>
      <c r="J132" s="4">
        <f t="shared" si="7"/>
        <v>1.7320508075688772</v>
      </c>
      <c r="K132" s="4" t="str">
        <f t="shared" si="8"/>
        <v>C1</v>
      </c>
      <c r="L132" s="14">
        <f t="shared" si="9"/>
        <v>2.9999999999999996</v>
      </c>
    </row>
    <row r="133" spans="1:12" x14ac:dyDescent="0.35">
      <c r="A133" s="4">
        <v>11</v>
      </c>
      <c r="B133" s="14" t="s">
        <v>154</v>
      </c>
      <c r="C133" s="4">
        <f t="shared" si="0"/>
        <v>3</v>
      </c>
      <c r="D133" s="4">
        <f t="shared" si="1"/>
        <v>2.2360679774997898</v>
      </c>
      <c r="E133" s="4">
        <f t="shared" si="2"/>
        <v>2.6457513110645907</v>
      </c>
      <c r="F133" s="4">
        <f t="shared" si="3"/>
        <v>2.6457513110645907</v>
      </c>
      <c r="G133" s="4">
        <f t="shared" si="4"/>
        <v>3.1622776601683795</v>
      </c>
      <c r="H133" s="4">
        <f t="shared" si="5"/>
        <v>1</v>
      </c>
      <c r="I133" s="4">
        <f t="shared" si="6"/>
        <v>2.6457513110645907</v>
      </c>
      <c r="J133" s="4">
        <f t="shared" si="7"/>
        <v>1</v>
      </c>
      <c r="K133" s="4" t="str">
        <f t="shared" si="8"/>
        <v>C6</v>
      </c>
      <c r="L133" s="14">
        <f t="shared" si="9"/>
        <v>1</v>
      </c>
    </row>
    <row r="134" spans="1:12" x14ac:dyDescent="0.35">
      <c r="A134" s="4">
        <v>12</v>
      </c>
      <c r="B134" s="14" t="s">
        <v>157</v>
      </c>
      <c r="C134" s="4">
        <f t="shared" si="0"/>
        <v>3.3166247903553998</v>
      </c>
      <c r="D134" s="4">
        <f t="shared" si="1"/>
        <v>1.7320508075688772</v>
      </c>
      <c r="E134" s="4">
        <f t="shared" si="2"/>
        <v>2.2360679774997898</v>
      </c>
      <c r="F134" s="4">
        <f t="shared" si="3"/>
        <v>2.6457513110645907</v>
      </c>
      <c r="G134" s="4">
        <f t="shared" si="4"/>
        <v>2.8284271247461903</v>
      </c>
      <c r="H134" s="4">
        <f t="shared" si="5"/>
        <v>1</v>
      </c>
      <c r="I134" s="4">
        <f t="shared" si="6"/>
        <v>2.2360679774997898</v>
      </c>
      <c r="J134" s="4">
        <f t="shared" si="7"/>
        <v>1</v>
      </c>
      <c r="K134" s="4" t="str">
        <f t="shared" si="8"/>
        <v>C6</v>
      </c>
      <c r="L134" s="14">
        <f t="shared" si="9"/>
        <v>1</v>
      </c>
    </row>
    <row r="135" spans="1:12" x14ac:dyDescent="0.35">
      <c r="A135" s="4">
        <v>13</v>
      </c>
      <c r="B135" s="14" t="s">
        <v>160</v>
      </c>
      <c r="C135" s="4">
        <f t="shared" si="0"/>
        <v>2.4494897427831779</v>
      </c>
      <c r="D135" s="4">
        <f t="shared" si="1"/>
        <v>2.8284271247461903</v>
      </c>
      <c r="E135" s="4">
        <f t="shared" si="2"/>
        <v>3.1622776601683795</v>
      </c>
      <c r="F135" s="4">
        <f t="shared" si="3"/>
        <v>2.4494897427831779</v>
      </c>
      <c r="G135" s="4">
        <f t="shared" si="4"/>
        <v>1.7320508075688772</v>
      </c>
      <c r="H135" s="4">
        <f t="shared" si="5"/>
        <v>2.4494897427831779</v>
      </c>
      <c r="I135" s="4">
        <f t="shared" si="6"/>
        <v>2.4494897427831779</v>
      </c>
      <c r="J135" s="4">
        <f t="shared" si="7"/>
        <v>1.7320508075688772</v>
      </c>
      <c r="K135" s="4" t="str">
        <f t="shared" si="8"/>
        <v>C5</v>
      </c>
      <c r="L135" s="14">
        <f t="shared" si="9"/>
        <v>2.9999999999999996</v>
      </c>
    </row>
    <row r="136" spans="1:12" x14ac:dyDescent="0.35">
      <c r="A136" s="4">
        <v>14</v>
      </c>
      <c r="B136" s="14" t="s">
        <v>163</v>
      </c>
      <c r="C136" s="4">
        <f t="shared" si="0"/>
        <v>2.6457513110645907</v>
      </c>
      <c r="D136" s="4">
        <f t="shared" si="1"/>
        <v>3.3166247903553998</v>
      </c>
      <c r="E136" s="4">
        <f t="shared" si="2"/>
        <v>3.3166247903553998</v>
      </c>
      <c r="F136" s="4">
        <f t="shared" si="3"/>
        <v>3</v>
      </c>
      <c r="G136" s="4">
        <f t="shared" si="4"/>
        <v>2.8284271247461903</v>
      </c>
      <c r="H136" s="4">
        <f t="shared" si="5"/>
        <v>2.6457513110645907</v>
      </c>
      <c r="I136" s="4">
        <f t="shared" si="6"/>
        <v>2.6457513110645907</v>
      </c>
      <c r="J136" s="4">
        <f t="shared" si="7"/>
        <v>2.6457513110645907</v>
      </c>
      <c r="K136" s="4" t="str">
        <f t="shared" si="8"/>
        <v>C1</v>
      </c>
      <c r="L136" s="14">
        <f t="shared" si="9"/>
        <v>7.0000000000000009</v>
      </c>
    </row>
    <row r="137" spans="1:12" x14ac:dyDescent="0.35">
      <c r="A137" s="4">
        <v>15</v>
      </c>
      <c r="B137" s="14" t="s">
        <v>166</v>
      </c>
      <c r="C137" s="4">
        <f t="shared" si="0"/>
        <v>2.2360679774997898</v>
      </c>
      <c r="D137" s="4">
        <f t="shared" si="1"/>
        <v>2.6457513110645907</v>
      </c>
      <c r="E137" s="4">
        <f t="shared" si="2"/>
        <v>3.3166247903553998</v>
      </c>
      <c r="F137" s="4">
        <f t="shared" si="3"/>
        <v>2.2360679774997898</v>
      </c>
      <c r="G137" s="4">
        <f t="shared" si="4"/>
        <v>2.8284271247461903</v>
      </c>
      <c r="H137" s="4">
        <f t="shared" si="5"/>
        <v>3.3166247903553998</v>
      </c>
      <c r="I137" s="4">
        <f t="shared" si="6"/>
        <v>2.6457513110645907</v>
      </c>
      <c r="J137" s="4">
        <f t="shared" si="7"/>
        <v>2.2360679774997898</v>
      </c>
      <c r="K137" s="4" t="str">
        <f t="shared" si="8"/>
        <v>C1</v>
      </c>
      <c r="L137" s="14">
        <f t="shared" si="9"/>
        <v>5.0000000000000009</v>
      </c>
    </row>
    <row r="138" spans="1:12" x14ac:dyDescent="0.35">
      <c r="A138" s="4">
        <v>16</v>
      </c>
      <c r="B138" s="14" t="s">
        <v>169</v>
      </c>
      <c r="C138" s="4">
        <f t="shared" si="0"/>
        <v>3.4641016151377544</v>
      </c>
      <c r="D138" s="4">
        <f t="shared" si="1"/>
        <v>2.4494897427831779</v>
      </c>
      <c r="E138" s="4">
        <f t="shared" si="2"/>
        <v>2</v>
      </c>
      <c r="F138" s="4">
        <f t="shared" si="3"/>
        <v>3.1622776601683795</v>
      </c>
      <c r="G138" s="4">
        <f t="shared" si="4"/>
        <v>2.2360679774997898</v>
      </c>
      <c r="H138" s="4">
        <f t="shared" si="5"/>
        <v>2</v>
      </c>
      <c r="I138" s="4">
        <f t="shared" si="6"/>
        <v>2.8284271247461903</v>
      </c>
      <c r="J138" s="4">
        <f t="shared" si="7"/>
        <v>2</v>
      </c>
      <c r="K138" s="4" t="str">
        <f t="shared" si="8"/>
        <v>C3</v>
      </c>
      <c r="L138" s="14">
        <f t="shared" si="9"/>
        <v>4</v>
      </c>
    </row>
    <row r="139" spans="1:12" x14ac:dyDescent="0.35">
      <c r="A139" s="4">
        <v>17</v>
      </c>
      <c r="B139" s="14" t="s">
        <v>172</v>
      </c>
      <c r="C139" s="4">
        <f t="shared" si="0"/>
        <v>1</v>
      </c>
      <c r="D139" s="4">
        <f t="shared" si="1"/>
        <v>2.6457513110645907</v>
      </c>
      <c r="E139" s="4">
        <f t="shared" si="2"/>
        <v>3.6055512754639891</v>
      </c>
      <c r="F139" s="4">
        <f t="shared" si="3"/>
        <v>2.2360679774997898</v>
      </c>
      <c r="G139" s="4">
        <f t="shared" si="4"/>
        <v>2.8284271247461903</v>
      </c>
      <c r="H139" s="4">
        <f t="shared" si="5"/>
        <v>3</v>
      </c>
      <c r="I139" s="4">
        <f t="shared" si="6"/>
        <v>3</v>
      </c>
      <c r="J139" s="4">
        <f t="shared" si="7"/>
        <v>1</v>
      </c>
      <c r="K139" s="4" t="str">
        <f t="shared" si="8"/>
        <v>C1</v>
      </c>
      <c r="L139" s="14">
        <f t="shared" si="9"/>
        <v>1</v>
      </c>
    </row>
    <row r="140" spans="1:12" x14ac:dyDescent="0.35">
      <c r="A140" s="4">
        <v>18</v>
      </c>
      <c r="B140" s="14" t="s">
        <v>175</v>
      </c>
      <c r="C140" s="4">
        <f t="shared" si="0"/>
        <v>2.4494897427831779</v>
      </c>
      <c r="D140" s="4">
        <f t="shared" si="1"/>
        <v>2.8284271247461903</v>
      </c>
      <c r="E140" s="4">
        <f t="shared" si="2"/>
        <v>3.1622776601683795</v>
      </c>
      <c r="F140" s="4">
        <f t="shared" si="3"/>
        <v>2.4494897427831779</v>
      </c>
      <c r="G140" s="4">
        <f t="shared" si="4"/>
        <v>1.7320508075688772</v>
      </c>
      <c r="H140" s="4">
        <f t="shared" si="5"/>
        <v>2.4494897427831779</v>
      </c>
      <c r="I140" s="4">
        <f t="shared" si="6"/>
        <v>2.4494897427831779</v>
      </c>
      <c r="J140" s="4">
        <f t="shared" si="7"/>
        <v>1.7320508075688772</v>
      </c>
      <c r="K140" s="4" t="str">
        <f t="shared" si="8"/>
        <v>C5</v>
      </c>
      <c r="L140" s="14">
        <f t="shared" si="9"/>
        <v>2.9999999999999996</v>
      </c>
    </row>
    <row r="141" spans="1:12" x14ac:dyDescent="0.35">
      <c r="A141" s="4">
        <v>19</v>
      </c>
      <c r="B141" s="14" t="s">
        <v>178</v>
      </c>
      <c r="C141" s="4">
        <f t="shared" si="0"/>
        <v>3.4641016151377544</v>
      </c>
      <c r="D141" s="4">
        <f t="shared" si="1"/>
        <v>4.2426406871192848</v>
      </c>
      <c r="E141" s="4">
        <f t="shared" si="2"/>
        <v>4.8989794855663558</v>
      </c>
      <c r="F141" s="4">
        <f t="shared" si="3"/>
        <v>4</v>
      </c>
      <c r="G141" s="4">
        <f t="shared" si="4"/>
        <v>3.3166247903553998</v>
      </c>
      <c r="H141" s="4">
        <f t="shared" si="5"/>
        <v>4</v>
      </c>
      <c r="I141" s="4">
        <f t="shared" si="6"/>
        <v>4.2426406871192848</v>
      </c>
      <c r="J141" s="4">
        <f t="shared" si="7"/>
        <v>3.3166247903553998</v>
      </c>
      <c r="K141" s="4" t="str">
        <f t="shared" si="8"/>
        <v>C5</v>
      </c>
      <c r="L141" s="14">
        <f t="shared" si="9"/>
        <v>11</v>
      </c>
    </row>
    <row r="142" spans="1:12" x14ac:dyDescent="0.35">
      <c r="A142" s="4">
        <v>20</v>
      </c>
      <c r="B142" s="14" t="s">
        <v>181</v>
      </c>
      <c r="C142" s="4">
        <f t="shared" si="0"/>
        <v>2.2360679774997898</v>
      </c>
      <c r="D142" s="4">
        <f t="shared" si="1"/>
        <v>2.6457513110645907</v>
      </c>
      <c r="E142" s="4">
        <f t="shared" si="2"/>
        <v>3.872983346207417</v>
      </c>
      <c r="F142" s="4">
        <f t="shared" si="3"/>
        <v>2.6457513110645907</v>
      </c>
      <c r="G142" s="4">
        <f t="shared" si="4"/>
        <v>2.8284271247461903</v>
      </c>
      <c r="H142" s="4">
        <f t="shared" si="5"/>
        <v>3.3166247903553998</v>
      </c>
      <c r="I142" s="4">
        <f t="shared" si="6"/>
        <v>3.3166247903553998</v>
      </c>
      <c r="J142" s="4">
        <f t="shared" si="7"/>
        <v>2.2360679774997898</v>
      </c>
      <c r="K142" s="4" t="str">
        <f t="shared" si="8"/>
        <v>C1</v>
      </c>
      <c r="L142" s="14">
        <f t="shared" si="9"/>
        <v>5.0000000000000009</v>
      </c>
    </row>
    <row r="143" spans="1:12" x14ac:dyDescent="0.35">
      <c r="A143" s="4">
        <v>21</v>
      </c>
      <c r="B143" s="14" t="s">
        <v>227</v>
      </c>
      <c r="C143" s="4">
        <f t="shared" si="0"/>
        <v>4.5825756949558398</v>
      </c>
      <c r="D143" s="4">
        <f t="shared" si="1"/>
        <v>4.5825756949558398</v>
      </c>
      <c r="E143" s="4">
        <f t="shared" si="2"/>
        <v>5</v>
      </c>
      <c r="F143" s="4">
        <f t="shared" si="3"/>
        <v>4.358898943540674</v>
      </c>
      <c r="G143" s="4">
        <f t="shared" si="4"/>
        <v>3.7416573867739413</v>
      </c>
      <c r="H143" s="4">
        <f t="shared" si="5"/>
        <v>4.358898943540674</v>
      </c>
      <c r="I143" s="4">
        <f t="shared" si="6"/>
        <v>4.1231056256176606</v>
      </c>
      <c r="J143" s="4">
        <f t="shared" si="7"/>
        <v>3.7416573867739413</v>
      </c>
      <c r="K143" s="4" t="str">
        <f t="shared" si="8"/>
        <v>C5</v>
      </c>
      <c r="L143" s="14">
        <f t="shared" si="9"/>
        <v>14</v>
      </c>
    </row>
    <row r="144" spans="1:12" x14ac:dyDescent="0.35">
      <c r="A144" s="4">
        <v>22</v>
      </c>
      <c r="B144" s="14" t="s">
        <v>224</v>
      </c>
      <c r="C144" s="4">
        <f t="shared" si="0"/>
        <v>3.1622776601683795</v>
      </c>
      <c r="D144" s="4">
        <f t="shared" si="1"/>
        <v>3.4641016151377544</v>
      </c>
      <c r="E144" s="4">
        <f t="shared" si="2"/>
        <v>3.7416573867739413</v>
      </c>
      <c r="F144" s="4">
        <f t="shared" si="3"/>
        <v>2.8284271247461903</v>
      </c>
      <c r="G144" s="4">
        <f t="shared" si="4"/>
        <v>2.6457513110645907</v>
      </c>
      <c r="H144" s="4">
        <f t="shared" si="5"/>
        <v>3.1622776601683795</v>
      </c>
      <c r="I144" s="4">
        <f t="shared" si="6"/>
        <v>3.1622776601683795</v>
      </c>
      <c r="J144" s="4">
        <f t="shared" si="7"/>
        <v>2.6457513110645907</v>
      </c>
      <c r="K144" s="4" t="str">
        <f t="shared" si="8"/>
        <v>C5</v>
      </c>
      <c r="L144" s="14">
        <f t="shared" si="9"/>
        <v>7.0000000000000009</v>
      </c>
    </row>
    <row r="145" spans="1:13" x14ac:dyDescent="0.35">
      <c r="A145" s="4">
        <v>23</v>
      </c>
      <c r="B145" s="14" t="s">
        <v>248</v>
      </c>
      <c r="C145" s="4">
        <f t="shared" si="0"/>
        <v>2.6457513110645907</v>
      </c>
      <c r="D145" s="4">
        <f t="shared" si="1"/>
        <v>1</v>
      </c>
      <c r="E145" s="4">
        <f t="shared" si="2"/>
        <v>2.6457513110645907</v>
      </c>
      <c r="F145" s="4">
        <f t="shared" si="3"/>
        <v>2.2360679774997898</v>
      </c>
      <c r="G145" s="4">
        <f t="shared" si="4"/>
        <v>3.1622776601683795</v>
      </c>
      <c r="H145" s="4">
        <f t="shared" si="5"/>
        <v>2.2360679774997898</v>
      </c>
      <c r="I145" s="4">
        <f t="shared" si="6"/>
        <v>2.6457513110645907</v>
      </c>
      <c r="J145" s="4">
        <f t="shared" si="7"/>
        <v>1</v>
      </c>
      <c r="K145" s="4" t="str">
        <f t="shared" si="8"/>
        <v>C2</v>
      </c>
      <c r="L145" s="14">
        <f>J145^2</f>
        <v>1</v>
      </c>
    </row>
    <row r="146" spans="1:13" x14ac:dyDescent="0.35">
      <c r="A146" s="4">
        <v>24</v>
      </c>
      <c r="B146" s="14" t="s">
        <v>226</v>
      </c>
      <c r="C146" s="4" t="e">
        <f t="shared" si="0"/>
        <v>#DIV/0!</v>
      </c>
      <c r="D146" s="4" t="e">
        <f t="shared" si="1"/>
        <v>#DIV/0!</v>
      </c>
      <c r="E146" s="4" t="e">
        <f t="shared" si="2"/>
        <v>#DIV/0!</v>
      </c>
      <c r="F146" s="4" t="e">
        <f t="shared" si="3"/>
        <v>#DIV/0!</v>
      </c>
      <c r="G146" s="4" t="e">
        <f t="shared" si="4"/>
        <v>#DIV/0!</v>
      </c>
      <c r="H146" s="4" t="e">
        <f t="shared" si="5"/>
        <v>#DIV/0!</v>
      </c>
      <c r="I146" s="4" t="e">
        <f t="shared" si="6"/>
        <v>#DIV/0!</v>
      </c>
      <c r="J146" s="4" t="e">
        <f t="shared" si="7"/>
        <v>#DIV/0!</v>
      </c>
      <c r="K146" s="4" t="e">
        <f t="shared" si="8"/>
        <v>#DIV/0!</v>
      </c>
      <c r="L146" s="14" t="e">
        <f t="shared" ref="L146:L147" si="10">J146^2</f>
        <v>#DIV/0!</v>
      </c>
    </row>
    <row r="147" spans="1:13" x14ac:dyDescent="0.35">
      <c r="A147" s="4">
        <v>25</v>
      </c>
      <c r="B147" s="14" t="s">
        <v>225</v>
      </c>
      <c r="C147" s="4" t="e">
        <f t="shared" si="0"/>
        <v>#DIV/0!</v>
      </c>
      <c r="D147" s="4" t="e">
        <f t="shared" si="1"/>
        <v>#DIV/0!</v>
      </c>
      <c r="E147" s="4" t="e">
        <f t="shared" si="2"/>
        <v>#DIV/0!</v>
      </c>
      <c r="F147" s="4" t="e">
        <f t="shared" si="3"/>
        <v>#DIV/0!</v>
      </c>
      <c r="G147" s="4" t="e">
        <f t="shared" si="4"/>
        <v>#DIV/0!</v>
      </c>
      <c r="H147" s="4" t="e">
        <f t="shared" si="5"/>
        <v>#DIV/0!</v>
      </c>
      <c r="I147" s="4" t="e">
        <f t="shared" si="6"/>
        <v>#DIV/0!</v>
      </c>
      <c r="J147" s="4" t="e">
        <f t="shared" si="7"/>
        <v>#DIV/0!</v>
      </c>
      <c r="K147" s="4" t="e">
        <f t="shared" si="8"/>
        <v>#DIV/0!</v>
      </c>
      <c r="L147" s="14" t="e">
        <f t="shared" si="10"/>
        <v>#DIV/0!</v>
      </c>
    </row>
    <row r="148" spans="1:13" x14ac:dyDescent="0.35">
      <c r="A148" s="4">
        <v>26</v>
      </c>
      <c r="B148" s="14" t="s">
        <v>130</v>
      </c>
      <c r="C148" s="4" t="e">
        <f t="shared" ref="C148:C172" si="11">SQRT(SUMXMY2(B110:R110, $B$58:$R$58))</f>
        <v>#DIV/0!</v>
      </c>
      <c r="D148" s="4" t="e">
        <f t="shared" ref="D148:D172" si="12">SQRT(SUMXMY2(B110:R110, $B$59:$R$59))</f>
        <v>#DIV/0!</v>
      </c>
      <c r="E148" s="4" t="e">
        <f t="shared" ref="E148:E172" si="13">SQRT(SUMXMY2(B110:R110, $B$60:$R$60))</f>
        <v>#DIV/0!</v>
      </c>
      <c r="F148" s="4" t="e">
        <f t="shared" ref="F148:F172" si="14">SQRT(SUMXMY2(B110:R110, $B$61:$R$61))</f>
        <v>#DIV/0!</v>
      </c>
      <c r="G148" s="4" t="e">
        <f t="shared" ref="G148:G172" si="15">SQRT(SUMXMY2(B110:R110, $B$62:$R$62))</f>
        <v>#DIV/0!</v>
      </c>
      <c r="H148" s="4" t="e">
        <f t="shared" ref="H148:H172" si="16">SQRT(SUMXMY2(B110:R110, $B$63:$R$63))</f>
        <v>#DIV/0!</v>
      </c>
      <c r="I148" s="4" t="e">
        <f t="shared" ref="I148:I172" si="17">SQRT(SUMXMY2(B110:R110, $B$64:$R$64))</f>
        <v>#DIV/0!</v>
      </c>
      <c r="J148" s="4" t="e">
        <f>MIN(C148:I148)</f>
        <v>#DIV/0!</v>
      </c>
      <c r="K148" s="4" t="e">
        <f>"C"&amp;MATCH(J148,C148:I148,0)</f>
        <v>#DIV/0!</v>
      </c>
      <c r="L148" s="14" t="e">
        <f>J148^2</f>
        <v>#DIV/0!</v>
      </c>
      <c r="M148" s="14" t="e">
        <f>SUM(L148:L172)</f>
        <v>#DIV/0!</v>
      </c>
    </row>
    <row r="149" spans="1:13" x14ac:dyDescent="0.35">
      <c r="A149" s="4">
        <v>27</v>
      </c>
      <c r="B149" s="14" t="s">
        <v>134</v>
      </c>
      <c r="C149" s="4" t="e">
        <f t="shared" si="11"/>
        <v>#DIV/0!</v>
      </c>
      <c r="D149" s="4" t="e">
        <f t="shared" si="12"/>
        <v>#DIV/0!</v>
      </c>
      <c r="E149" s="4" t="e">
        <f t="shared" si="13"/>
        <v>#DIV/0!</v>
      </c>
      <c r="F149" s="4" t="e">
        <f t="shared" si="14"/>
        <v>#DIV/0!</v>
      </c>
      <c r="G149" s="4" t="e">
        <f t="shared" si="15"/>
        <v>#DIV/0!</v>
      </c>
      <c r="H149" s="4" t="e">
        <f t="shared" si="16"/>
        <v>#DIV/0!</v>
      </c>
      <c r="I149" s="4" t="e">
        <f t="shared" si="17"/>
        <v>#DIV/0!</v>
      </c>
      <c r="J149" s="4" t="e">
        <f t="shared" ref="J149:J172" si="18">MIN(C149:I149)</f>
        <v>#DIV/0!</v>
      </c>
      <c r="K149" s="4" t="e">
        <f t="shared" ref="K149:K172" si="19">"C"&amp;MATCH(J149,C149:I149,0)</f>
        <v>#DIV/0!</v>
      </c>
      <c r="L149" s="14" t="e">
        <f t="shared" ref="L149:L169" si="20">J149^2</f>
        <v>#DIV/0!</v>
      </c>
    </row>
    <row r="150" spans="1:13" x14ac:dyDescent="0.35">
      <c r="A150" s="4">
        <v>28</v>
      </c>
      <c r="B150" s="14" t="s">
        <v>241</v>
      </c>
      <c r="C150" s="4" t="e">
        <f t="shared" si="11"/>
        <v>#DIV/0!</v>
      </c>
      <c r="D150" s="4" t="e">
        <f t="shared" si="12"/>
        <v>#DIV/0!</v>
      </c>
      <c r="E150" s="4" t="e">
        <f t="shared" si="13"/>
        <v>#DIV/0!</v>
      </c>
      <c r="F150" s="4" t="e">
        <f t="shared" si="14"/>
        <v>#DIV/0!</v>
      </c>
      <c r="G150" s="4" t="e">
        <f t="shared" si="15"/>
        <v>#DIV/0!</v>
      </c>
      <c r="H150" s="4" t="e">
        <f t="shared" si="16"/>
        <v>#DIV/0!</v>
      </c>
      <c r="I150" s="4" t="e">
        <f t="shared" si="17"/>
        <v>#DIV/0!</v>
      </c>
      <c r="J150" s="4" t="e">
        <f t="shared" si="18"/>
        <v>#DIV/0!</v>
      </c>
      <c r="K150" s="4" t="e">
        <f t="shared" si="19"/>
        <v>#DIV/0!</v>
      </c>
      <c r="L150" s="14" t="e">
        <f t="shared" si="20"/>
        <v>#DIV/0!</v>
      </c>
    </row>
    <row r="151" spans="1:13" x14ac:dyDescent="0.35">
      <c r="A151" s="4">
        <v>29</v>
      </c>
      <c r="B151" s="14" t="s">
        <v>244</v>
      </c>
      <c r="C151" s="4">
        <f t="shared" si="11"/>
        <v>0</v>
      </c>
      <c r="D151" s="4">
        <f t="shared" si="12"/>
        <v>2.8284271247461903</v>
      </c>
      <c r="E151" s="4">
        <f t="shared" si="13"/>
        <v>3.4641016151377544</v>
      </c>
      <c r="F151" s="4">
        <f t="shared" si="14"/>
        <v>2.4494897427831779</v>
      </c>
      <c r="G151" s="4">
        <f t="shared" si="15"/>
        <v>2.6457513110645907</v>
      </c>
      <c r="H151" s="4">
        <f t="shared" si="16"/>
        <v>3.1622776601683795</v>
      </c>
      <c r="I151" s="4">
        <f t="shared" si="17"/>
        <v>3.1622776601683795</v>
      </c>
      <c r="J151" s="4">
        <f t="shared" si="18"/>
        <v>0</v>
      </c>
      <c r="K151" s="4" t="str">
        <f t="shared" si="19"/>
        <v>C1</v>
      </c>
      <c r="L151" s="14">
        <f t="shared" si="20"/>
        <v>0</v>
      </c>
    </row>
    <row r="152" spans="1:13" x14ac:dyDescent="0.35">
      <c r="A152" s="4">
        <v>30</v>
      </c>
      <c r="B152" s="14" t="s">
        <v>137</v>
      </c>
      <c r="C152" s="4">
        <f t="shared" si="11"/>
        <v>2.8284271247461903</v>
      </c>
      <c r="D152" s="4">
        <f t="shared" si="12"/>
        <v>0</v>
      </c>
      <c r="E152" s="4">
        <f t="shared" si="13"/>
        <v>2.4494897427831779</v>
      </c>
      <c r="F152" s="4">
        <f t="shared" si="14"/>
        <v>2.4494897427831779</v>
      </c>
      <c r="G152" s="4">
        <f t="shared" si="15"/>
        <v>3.3166247903553998</v>
      </c>
      <c r="H152" s="4">
        <f t="shared" si="16"/>
        <v>2</v>
      </c>
      <c r="I152" s="4">
        <f t="shared" si="17"/>
        <v>2.4494897427831779</v>
      </c>
      <c r="J152" s="4">
        <f t="shared" si="18"/>
        <v>0</v>
      </c>
      <c r="K152" s="4" t="str">
        <f t="shared" si="19"/>
        <v>C2</v>
      </c>
      <c r="L152" s="14">
        <f t="shared" si="20"/>
        <v>0</v>
      </c>
    </row>
    <row r="153" spans="1:13" x14ac:dyDescent="0.35">
      <c r="A153" s="4">
        <v>31</v>
      </c>
      <c r="B153" s="14" t="s">
        <v>140</v>
      </c>
      <c r="C153" s="4">
        <f t="shared" si="11"/>
        <v>3.4641016151377544</v>
      </c>
      <c r="D153" s="4">
        <f t="shared" si="12"/>
        <v>2.4494897427831779</v>
      </c>
      <c r="E153" s="4">
        <f t="shared" si="13"/>
        <v>0</v>
      </c>
      <c r="F153" s="4">
        <f t="shared" si="14"/>
        <v>3.4641016151377544</v>
      </c>
      <c r="G153" s="4">
        <f t="shared" si="15"/>
        <v>3</v>
      </c>
      <c r="H153" s="4">
        <f t="shared" si="16"/>
        <v>2.4494897427831779</v>
      </c>
      <c r="I153" s="4">
        <f t="shared" si="17"/>
        <v>2.8284271247461903</v>
      </c>
      <c r="J153" s="4">
        <f t="shared" si="18"/>
        <v>0</v>
      </c>
      <c r="K153" s="4" t="str">
        <f t="shared" si="19"/>
        <v>C3</v>
      </c>
      <c r="L153" s="14">
        <f t="shared" si="20"/>
        <v>0</v>
      </c>
    </row>
    <row r="154" spans="1:13" x14ac:dyDescent="0.35">
      <c r="A154" s="4">
        <v>32</v>
      </c>
      <c r="B154" s="14" t="s">
        <v>143</v>
      </c>
      <c r="C154" s="4">
        <f t="shared" si="11"/>
        <v>2.4494897427831779</v>
      </c>
      <c r="D154" s="4">
        <f t="shared" si="12"/>
        <v>2.4494897427831779</v>
      </c>
      <c r="E154" s="4">
        <f t="shared" si="13"/>
        <v>3.4641016151377544</v>
      </c>
      <c r="F154" s="4">
        <f t="shared" si="14"/>
        <v>0</v>
      </c>
      <c r="G154" s="4">
        <f t="shared" si="15"/>
        <v>3</v>
      </c>
      <c r="H154" s="4">
        <f t="shared" si="16"/>
        <v>2.4494897427831779</v>
      </c>
      <c r="I154" s="4">
        <f t="shared" si="17"/>
        <v>2</v>
      </c>
      <c r="J154" s="4">
        <f t="shared" si="18"/>
        <v>0</v>
      </c>
      <c r="K154" s="4" t="str">
        <f t="shared" si="19"/>
        <v>C4</v>
      </c>
      <c r="L154" s="14">
        <f t="shared" si="20"/>
        <v>0</v>
      </c>
    </row>
    <row r="155" spans="1:13" x14ac:dyDescent="0.35">
      <c r="A155" s="4">
        <v>33</v>
      </c>
      <c r="B155" s="14" t="s">
        <v>146</v>
      </c>
      <c r="C155" s="4">
        <f t="shared" si="11"/>
        <v>2.6457513110645907</v>
      </c>
      <c r="D155" s="4">
        <f t="shared" si="12"/>
        <v>3.3166247903553998</v>
      </c>
      <c r="E155" s="4">
        <f t="shared" si="13"/>
        <v>3</v>
      </c>
      <c r="F155" s="4">
        <f t="shared" si="14"/>
        <v>3</v>
      </c>
      <c r="G155" s="4">
        <f t="shared" si="15"/>
        <v>0</v>
      </c>
      <c r="H155" s="4">
        <f t="shared" si="16"/>
        <v>3</v>
      </c>
      <c r="I155" s="4">
        <f t="shared" si="17"/>
        <v>3</v>
      </c>
      <c r="J155" s="4">
        <f t="shared" si="18"/>
        <v>0</v>
      </c>
      <c r="K155" s="4" t="str">
        <f t="shared" si="19"/>
        <v>C5</v>
      </c>
      <c r="L155" s="14">
        <f t="shared" si="20"/>
        <v>0</v>
      </c>
    </row>
    <row r="156" spans="1:13" x14ac:dyDescent="0.35">
      <c r="A156" s="4">
        <v>34</v>
      </c>
      <c r="B156" s="14" t="s">
        <v>149</v>
      </c>
      <c r="C156" s="4" t="e">
        <f t="shared" si="11"/>
        <v>#DIV/0!</v>
      </c>
      <c r="D156" s="4" t="e">
        <f t="shared" si="12"/>
        <v>#DIV/0!</v>
      </c>
      <c r="E156" s="4" t="e">
        <f t="shared" si="13"/>
        <v>#DIV/0!</v>
      </c>
      <c r="F156" s="4" t="e">
        <f t="shared" si="14"/>
        <v>#DIV/0!</v>
      </c>
      <c r="G156" s="4" t="e">
        <f t="shared" si="15"/>
        <v>#DIV/0!</v>
      </c>
      <c r="H156" s="4" t="e">
        <f t="shared" si="16"/>
        <v>#DIV/0!</v>
      </c>
      <c r="I156" s="4" t="e">
        <f t="shared" si="17"/>
        <v>#DIV/0!</v>
      </c>
      <c r="J156" s="4" t="e">
        <f t="shared" si="18"/>
        <v>#DIV/0!</v>
      </c>
      <c r="K156" s="4" t="e">
        <f t="shared" si="19"/>
        <v>#DIV/0!</v>
      </c>
      <c r="L156" s="14" t="e">
        <f t="shared" si="20"/>
        <v>#DIV/0!</v>
      </c>
    </row>
    <row r="157" spans="1:13" x14ac:dyDescent="0.35">
      <c r="A157" s="4">
        <v>35</v>
      </c>
      <c r="B157" s="14" t="s">
        <v>151</v>
      </c>
      <c r="C157" s="4" t="e">
        <f t="shared" si="11"/>
        <v>#DIV/0!</v>
      </c>
      <c r="D157" s="4" t="e">
        <f t="shared" si="12"/>
        <v>#DIV/0!</v>
      </c>
      <c r="E157" s="4" t="e">
        <f t="shared" si="13"/>
        <v>#DIV/0!</v>
      </c>
      <c r="F157" s="4" t="e">
        <f t="shared" si="14"/>
        <v>#DIV/0!</v>
      </c>
      <c r="G157" s="4" t="e">
        <f t="shared" si="15"/>
        <v>#DIV/0!</v>
      </c>
      <c r="H157" s="4" t="e">
        <f t="shared" si="16"/>
        <v>#DIV/0!</v>
      </c>
      <c r="I157" s="4" t="e">
        <f t="shared" si="17"/>
        <v>#DIV/0!</v>
      </c>
      <c r="J157" s="4" t="e">
        <f t="shared" si="18"/>
        <v>#DIV/0!</v>
      </c>
      <c r="K157" s="4" t="e">
        <f t="shared" si="19"/>
        <v>#DIV/0!</v>
      </c>
      <c r="L157" s="14" t="e">
        <f t="shared" si="20"/>
        <v>#DIV/0!</v>
      </c>
    </row>
    <row r="158" spans="1:13" x14ac:dyDescent="0.35">
      <c r="A158" s="4">
        <v>36</v>
      </c>
      <c r="B158" s="14" t="s">
        <v>154</v>
      </c>
      <c r="C158" s="4" t="e">
        <f t="shared" si="11"/>
        <v>#DIV/0!</v>
      </c>
      <c r="D158" s="4" t="e">
        <f t="shared" si="12"/>
        <v>#DIV/0!</v>
      </c>
      <c r="E158" s="4" t="e">
        <f t="shared" si="13"/>
        <v>#DIV/0!</v>
      </c>
      <c r="F158" s="4" t="e">
        <f t="shared" si="14"/>
        <v>#DIV/0!</v>
      </c>
      <c r="G158" s="4" t="e">
        <f t="shared" si="15"/>
        <v>#DIV/0!</v>
      </c>
      <c r="H158" s="4" t="e">
        <f t="shared" si="16"/>
        <v>#DIV/0!</v>
      </c>
      <c r="I158" s="4" t="e">
        <f t="shared" si="17"/>
        <v>#DIV/0!</v>
      </c>
      <c r="J158" s="4" t="e">
        <f t="shared" si="18"/>
        <v>#DIV/0!</v>
      </c>
      <c r="K158" s="4" t="e">
        <f t="shared" si="19"/>
        <v>#DIV/0!</v>
      </c>
      <c r="L158" s="14" t="e">
        <f t="shared" si="20"/>
        <v>#DIV/0!</v>
      </c>
    </row>
    <row r="159" spans="1:13" x14ac:dyDescent="0.35">
      <c r="A159" s="4">
        <v>37</v>
      </c>
      <c r="B159" s="14" t="s">
        <v>157</v>
      </c>
      <c r="C159" s="4" t="e">
        <f t="shared" si="11"/>
        <v>#DIV/0!</v>
      </c>
      <c r="D159" s="4" t="e">
        <f t="shared" si="12"/>
        <v>#DIV/0!</v>
      </c>
      <c r="E159" s="4" t="e">
        <f t="shared" si="13"/>
        <v>#DIV/0!</v>
      </c>
      <c r="F159" s="4" t="e">
        <f t="shared" si="14"/>
        <v>#DIV/0!</v>
      </c>
      <c r="G159" s="4" t="e">
        <f t="shared" si="15"/>
        <v>#DIV/0!</v>
      </c>
      <c r="H159" s="4" t="e">
        <f t="shared" si="16"/>
        <v>#DIV/0!</v>
      </c>
      <c r="I159" s="4" t="e">
        <f t="shared" si="17"/>
        <v>#DIV/0!</v>
      </c>
      <c r="J159" s="4" t="e">
        <f t="shared" si="18"/>
        <v>#DIV/0!</v>
      </c>
      <c r="K159" s="4" t="e">
        <f t="shared" si="19"/>
        <v>#DIV/0!</v>
      </c>
      <c r="L159" s="14" t="e">
        <f t="shared" si="20"/>
        <v>#DIV/0!</v>
      </c>
    </row>
    <row r="160" spans="1:13" x14ac:dyDescent="0.35">
      <c r="A160" s="4">
        <v>38</v>
      </c>
      <c r="B160" s="14" t="s">
        <v>160</v>
      </c>
      <c r="C160" s="4" t="e">
        <f t="shared" si="11"/>
        <v>#DIV/0!</v>
      </c>
      <c r="D160" s="4" t="e">
        <f t="shared" si="12"/>
        <v>#DIV/0!</v>
      </c>
      <c r="E160" s="4" t="e">
        <f t="shared" si="13"/>
        <v>#DIV/0!</v>
      </c>
      <c r="F160" s="4" t="e">
        <f t="shared" si="14"/>
        <v>#DIV/0!</v>
      </c>
      <c r="G160" s="4" t="e">
        <f t="shared" si="15"/>
        <v>#DIV/0!</v>
      </c>
      <c r="H160" s="4" t="e">
        <f t="shared" si="16"/>
        <v>#DIV/0!</v>
      </c>
      <c r="I160" s="4" t="e">
        <f t="shared" si="17"/>
        <v>#DIV/0!</v>
      </c>
      <c r="J160" s="4" t="e">
        <f t="shared" si="18"/>
        <v>#DIV/0!</v>
      </c>
      <c r="K160" s="4" t="e">
        <f t="shared" si="19"/>
        <v>#DIV/0!</v>
      </c>
      <c r="L160" s="14" t="e">
        <f t="shared" si="20"/>
        <v>#DIV/0!</v>
      </c>
    </row>
    <row r="161" spans="1:12" x14ac:dyDescent="0.35">
      <c r="A161" s="4">
        <v>39</v>
      </c>
      <c r="B161" s="14" t="s">
        <v>163</v>
      </c>
      <c r="C161" s="4" t="e">
        <f t="shared" si="11"/>
        <v>#DIV/0!</v>
      </c>
      <c r="D161" s="4" t="e">
        <f t="shared" si="12"/>
        <v>#DIV/0!</v>
      </c>
      <c r="E161" s="4" t="e">
        <f t="shared" si="13"/>
        <v>#DIV/0!</v>
      </c>
      <c r="F161" s="4" t="e">
        <f t="shared" si="14"/>
        <v>#DIV/0!</v>
      </c>
      <c r="G161" s="4" t="e">
        <f t="shared" si="15"/>
        <v>#DIV/0!</v>
      </c>
      <c r="H161" s="4" t="e">
        <f t="shared" si="16"/>
        <v>#DIV/0!</v>
      </c>
      <c r="I161" s="4" t="e">
        <f t="shared" si="17"/>
        <v>#DIV/0!</v>
      </c>
      <c r="J161" s="4" t="e">
        <f t="shared" si="18"/>
        <v>#DIV/0!</v>
      </c>
      <c r="K161" s="4" t="e">
        <f t="shared" si="19"/>
        <v>#DIV/0!</v>
      </c>
      <c r="L161" s="14" t="e">
        <f t="shared" si="20"/>
        <v>#DIV/0!</v>
      </c>
    </row>
    <row r="162" spans="1:12" x14ac:dyDescent="0.35">
      <c r="A162" s="4">
        <v>40</v>
      </c>
      <c r="B162" s="14" t="s">
        <v>166</v>
      </c>
      <c r="C162" s="4">
        <f t="shared" si="11"/>
        <v>4.5551856851341244</v>
      </c>
      <c r="D162" s="4">
        <f t="shared" si="12"/>
        <v>4.6744772050449113</v>
      </c>
      <c r="E162" s="4">
        <f t="shared" si="13"/>
        <v>4.6960385613143956</v>
      </c>
      <c r="F162" s="4">
        <f t="shared" si="14"/>
        <v>5.5543439883108148</v>
      </c>
      <c r="G162" s="4">
        <f t="shared" si="15"/>
        <v>3.7177296022943001</v>
      </c>
      <c r="H162" s="4">
        <f t="shared" si="16"/>
        <v>5.0843620190230832</v>
      </c>
      <c r="I162" s="4">
        <f t="shared" si="17"/>
        <v>5.0942867660662889</v>
      </c>
      <c r="J162" s="4">
        <f t="shared" si="18"/>
        <v>3.7177296022943001</v>
      </c>
      <c r="K162" s="4" t="str">
        <f t="shared" si="19"/>
        <v>C5</v>
      </c>
      <c r="L162" s="14">
        <f t="shared" si="20"/>
        <v>13.821513395775334</v>
      </c>
    </row>
    <row r="163" spans="1:12" x14ac:dyDescent="0.35">
      <c r="A163" s="4">
        <v>41</v>
      </c>
      <c r="B163" s="14" t="s">
        <v>169</v>
      </c>
      <c r="C163" s="4">
        <f t="shared" si="11"/>
        <v>5.2106137444949843</v>
      </c>
      <c r="D163" s="4">
        <f t="shared" si="12"/>
        <v>3.8101503925185471</v>
      </c>
      <c r="E163" s="4">
        <f t="shared" si="13"/>
        <v>3.6367215168995353</v>
      </c>
      <c r="F163" s="4">
        <f t="shared" si="14"/>
        <v>5.0514597903585496</v>
      </c>
      <c r="G163" s="4">
        <f t="shared" si="15"/>
        <v>4.1413156839729135</v>
      </c>
      <c r="H163" s="4">
        <f t="shared" si="16"/>
        <v>4.5295966722887409</v>
      </c>
      <c r="I163" s="4">
        <f t="shared" si="17"/>
        <v>4.4178327281155898</v>
      </c>
      <c r="J163" s="4">
        <f t="shared" si="18"/>
        <v>3.6367215168995353</v>
      </c>
      <c r="K163" s="4" t="str">
        <f t="shared" si="19"/>
        <v>C3</v>
      </c>
      <c r="L163" s="14">
        <f t="shared" si="20"/>
        <v>13.225743391480057</v>
      </c>
    </row>
    <row r="164" spans="1:12" x14ac:dyDescent="0.35">
      <c r="A164" s="4">
        <v>42</v>
      </c>
      <c r="B164" s="14" t="s">
        <v>172</v>
      </c>
      <c r="C164" s="4">
        <f t="shared" si="11"/>
        <v>4.3655507052790021</v>
      </c>
      <c r="D164" s="4">
        <f t="shared" si="12"/>
        <v>4.0198325182519277</v>
      </c>
      <c r="E164" s="4">
        <f t="shared" si="13"/>
        <v>4.4535938470474461</v>
      </c>
      <c r="F164" s="4">
        <f t="shared" si="14"/>
        <v>5.1047069416727533</v>
      </c>
      <c r="G164" s="4">
        <f t="shared" si="15"/>
        <v>3.880468136753862</v>
      </c>
      <c r="H164" s="4">
        <f t="shared" si="16"/>
        <v>4.5889032415558724</v>
      </c>
      <c r="I164" s="4">
        <f t="shared" si="17"/>
        <v>5.1047069416727533</v>
      </c>
      <c r="J164" s="4">
        <f t="shared" si="18"/>
        <v>3.880468136753862</v>
      </c>
      <c r="K164" s="4" t="str">
        <f t="shared" si="19"/>
        <v>C5</v>
      </c>
      <c r="L164" s="14">
        <f t="shared" si="20"/>
        <v>15.05803296036199</v>
      </c>
    </row>
    <row r="165" spans="1:12" x14ac:dyDescent="0.35">
      <c r="A165" s="4">
        <v>43</v>
      </c>
      <c r="B165" s="14" t="s">
        <v>175</v>
      </c>
      <c r="C165" s="4">
        <f t="shared" si="11"/>
        <v>4.9438105665646512</v>
      </c>
      <c r="D165" s="4">
        <f t="shared" si="12"/>
        <v>4.641366547958687</v>
      </c>
      <c r="E165" s="4">
        <f t="shared" si="13"/>
        <v>4.5076322639060553</v>
      </c>
      <c r="F165" s="4">
        <f t="shared" si="14"/>
        <v>5.1519203635644386</v>
      </c>
      <c r="G165" s="4">
        <f t="shared" si="15"/>
        <v>3.8450498915597855</v>
      </c>
      <c r="H165" s="4">
        <f t="shared" si="16"/>
        <v>4.641366547958687</v>
      </c>
      <c r="I165" s="4">
        <f t="shared" si="17"/>
        <v>4.6522364457262473</v>
      </c>
      <c r="J165" s="4">
        <f t="shared" si="18"/>
        <v>3.8450498915597855</v>
      </c>
      <c r="K165" s="4" t="str">
        <f t="shared" si="19"/>
        <v>C5</v>
      </c>
      <c r="L165" s="14">
        <f t="shared" si="20"/>
        <v>14.784408668583918</v>
      </c>
    </row>
    <row r="166" spans="1:12" x14ac:dyDescent="0.35">
      <c r="A166" s="4">
        <v>44</v>
      </c>
      <c r="B166" s="14" t="s">
        <v>178</v>
      </c>
      <c r="C166" s="4">
        <f t="shared" si="11"/>
        <v>2.808841184764864</v>
      </c>
      <c r="D166" s="4">
        <f t="shared" si="12"/>
        <v>3.3238556312280028</v>
      </c>
      <c r="E166" s="4">
        <f t="shared" si="13"/>
        <v>3.2391638615833207</v>
      </c>
      <c r="F166" s="4">
        <f t="shared" si="14"/>
        <v>2.5445745789449519</v>
      </c>
      <c r="G166" s="4">
        <f t="shared" si="15"/>
        <v>3.406442424627905</v>
      </c>
      <c r="H166" s="4">
        <f t="shared" si="16"/>
        <v>2.4386462930922268</v>
      </c>
      <c r="I166" s="4">
        <f t="shared" si="17"/>
        <v>3.402334537085753</v>
      </c>
      <c r="J166" s="4">
        <f t="shared" si="18"/>
        <v>2.4386462930922268</v>
      </c>
      <c r="K166" s="4" t="str">
        <f t="shared" si="19"/>
        <v>C6</v>
      </c>
      <c r="L166" s="14">
        <f t="shared" si="20"/>
        <v>5.9469957428124589</v>
      </c>
    </row>
    <row r="167" spans="1:12" x14ac:dyDescent="0.35">
      <c r="A167" s="4">
        <v>45</v>
      </c>
      <c r="B167" s="14" t="s">
        <v>181</v>
      </c>
      <c r="C167" s="4">
        <f t="shared" si="11"/>
        <v>1.9646286028986062</v>
      </c>
      <c r="D167" s="4">
        <f t="shared" si="12"/>
        <v>2.5339065275844979</v>
      </c>
      <c r="E167" s="4">
        <f t="shared" si="13"/>
        <v>2.3969726999842105</v>
      </c>
      <c r="F167" s="4">
        <f t="shared" si="14"/>
        <v>2.5354913982100498</v>
      </c>
      <c r="G167" s="4">
        <f t="shared" si="15"/>
        <v>2.4868294810187708</v>
      </c>
      <c r="H167" s="4">
        <f t="shared" si="16"/>
        <v>2.2119715743053545</v>
      </c>
      <c r="I167" s="4">
        <f t="shared" si="17"/>
        <v>2.9940966943736798</v>
      </c>
      <c r="J167" s="4">
        <f t="shared" si="18"/>
        <v>1.9646286028986062</v>
      </c>
      <c r="K167" s="4" t="str">
        <f t="shared" si="19"/>
        <v>C1</v>
      </c>
      <c r="L167" s="14">
        <f t="shared" si="20"/>
        <v>3.8597655473273291</v>
      </c>
    </row>
    <row r="168" spans="1:12" x14ac:dyDescent="0.35">
      <c r="A168" s="4">
        <v>46</v>
      </c>
      <c r="B168" s="14" t="s">
        <v>227</v>
      </c>
      <c r="C168" s="4">
        <f t="shared" si="11"/>
        <v>2.5637651733547857</v>
      </c>
      <c r="D168" s="4">
        <f t="shared" si="12"/>
        <v>2.17331198410626</v>
      </c>
      <c r="E168" s="4">
        <f t="shared" si="13"/>
        <v>1.9480969560020309</v>
      </c>
      <c r="F168" s="4">
        <f t="shared" si="14"/>
        <v>2.5658797098575947</v>
      </c>
      <c r="G168" s="4">
        <f t="shared" si="15"/>
        <v>2.4570294013797738</v>
      </c>
      <c r="H168" s="4">
        <f t="shared" si="16"/>
        <v>2.2467399272271473</v>
      </c>
      <c r="I168" s="4">
        <f t="shared" si="17"/>
        <v>2.3781369714933125</v>
      </c>
      <c r="J168" s="4">
        <f t="shared" si="18"/>
        <v>1.9480969560020309</v>
      </c>
      <c r="K168" s="4" t="str">
        <f t="shared" si="19"/>
        <v>C3</v>
      </c>
      <c r="L168" s="14">
        <f t="shared" si="20"/>
        <v>3.7950817499843787</v>
      </c>
    </row>
    <row r="169" spans="1:12" x14ac:dyDescent="0.35">
      <c r="A169" s="4">
        <v>47</v>
      </c>
      <c r="B169" s="14" t="s">
        <v>224</v>
      </c>
      <c r="C169" s="4">
        <f t="shared" si="11"/>
        <v>3.2450837564415336</v>
      </c>
      <c r="D169" s="4">
        <f t="shared" si="12"/>
        <v>3.6298101638347995</v>
      </c>
      <c r="E169" s="4">
        <f t="shared" si="13"/>
        <v>3.4440983328722847</v>
      </c>
      <c r="F169" s="4">
        <f t="shared" si="14"/>
        <v>3.0594509507379279</v>
      </c>
      <c r="G169" s="4">
        <f t="shared" si="15"/>
        <v>3.7055843750395363</v>
      </c>
      <c r="H169" s="4">
        <f t="shared" si="16"/>
        <v>2.9719313711744411</v>
      </c>
      <c r="I169" s="4">
        <f t="shared" si="17"/>
        <v>3.7018084594531406</v>
      </c>
      <c r="J169" s="4">
        <f t="shared" si="18"/>
        <v>2.9719313711744411</v>
      </c>
      <c r="K169" s="4" t="str">
        <f t="shared" si="19"/>
        <v>C6</v>
      </c>
      <c r="L169" s="14">
        <f t="shared" si="20"/>
        <v>8.832376074970794</v>
      </c>
    </row>
    <row r="170" spans="1:12" x14ac:dyDescent="0.35">
      <c r="A170" s="4">
        <v>48</v>
      </c>
      <c r="B170" s="14" t="s">
        <v>248</v>
      </c>
      <c r="C170" s="4">
        <f t="shared" si="11"/>
        <v>2.4498107154030335</v>
      </c>
      <c r="D170" s="4">
        <f t="shared" si="12"/>
        <v>2.5232764748768064</v>
      </c>
      <c r="E170" s="4">
        <f t="shared" si="13"/>
        <v>2.5039115345431369</v>
      </c>
      <c r="F170" s="4">
        <f t="shared" si="14"/>
        <v>2.9216557179516833</v>
      </c>
      <c r="G170" s="4">
        <f t="shared" si="15"/>
        <v>2.6609347644349954</v>
      </c>
      <c r="H170" s="4">
        <f t="shared" si="16"/>
        <v>2.6457841464067928</v>
      </c>
      <c r="I170" s="4">
        <f t="shared" si="17"/>
        <v>2.8111959294095752</v>
      </c>
      <c r="J170" s="4">
        <f t="shared" si="18"/>
        <v>2.4498107154030335</v>
      </c>
      <c r="K170" s="4" t="str">
        <f t="shared" si="19"/>
        <v>C1</v>
      </c>
      <c r="L170" s="14">
        <f>J170^2</f>
        <v>6.0015725413035232</v>
      </c>
    </row>
    <row r="171" spans="1:12" x14ac:dyDescent="0.35">
      <c r="A171" s="4">
        <v>49</v>
      </c>
      <c r="B171" s="14" t="s">
        <v>226</v>
      </c>
      <c r="C171" s="4">
        <f t="shared" si="11"/>
        <v>2.8357615862562029</v>
      </c>
      <c r="D171" s="4">
        <f t="shared" si="12"/>
        <v>2.5695253486382064</v>
      </c>
      <c r="E171" s="4">
        <f t="shared" si="13"/>
        <v>2.9329951444375584</v>
      </c>
      <c r="F171" s="4">
        <f t="shared" si="14"/>
        <v>3.5908165003830921</v>
      </c>
      <c r="G171" s="4">
        <f t="shared" si="15"/>
        <v>2.5231129769439686</v>
      </c>
      <c r="H171" s="4">
        <f t="shared" si="16"/>
        <v>3.1454670781019911</v>
      </c>
      <c r="I171" s="4">
        <f t="shared" si="17"/>
        <v>3.5908165003830921</v>
      </c>
      <c r="J171" s="4">
        <f t="shared" si="18"/>
        <v>2.5231129769439686</v>
      </c>
      <c r="K171" s="4" t="str">
        <f t="shared" si="19"/>
        <v>C5</v>
      </c>
      <c r="L171" s="14">
        <f t="shared" ref="L171:L172" si="21">J171^2</f>
        <v>6.3660990944230553</v>
      </c>
    </row>
    <row r="172" spans="1:12" x14ac:dyDescent="0.35">
      <c r="A172" s="4">
        <v>50</v>
      </c>
      <c r="B172" s="14" t="s">
        <v>225</v>
      </c>
      <c r="C172" s="4">
        <f t="shared" si="11"/>
        <v>2.9817863505907813</v>
      </c>
      <c r="D172" s="4">
        <f t="shared" si="12"/>
        <v>2.7914691208743352</v>
      </c>
      <c r="E172" s="4">
        <f t="shared" si="13"/>
        <v>3.0263922865491408</v>
      </c>
      <c r="F172" s="4">
        <f t="shared" si="14"/>
        <v>3.6420373155411951</v>
      </c>
      <c r="G172" s="4">
        <f t="shared" si="15"/>
        <v>2.5588872757630168</v>
      </c>
      <c r="H172" s="4">
        <f t="shared" si="16"/>
        <v>3.2038158198926663</v>
      </c>
      <c r="I172" s="4">
        <f t="shared" si="17"/>
        <v>3.6420373155411951</v>
      </c>
      <c r="J172" s="4">
        <f t="shared" si="18"/>
        <v>2.5588872757630168</v>
      </c>
      <c r="K172" s="4" t="str">
        <f t="shared" si="19"/>
        <v>C5</v>
      </c>
      <c r="L172" s="14">
        <f t="shared" si="21"/>
        <v>6.5479040900618735</v>
      </c>
    </row>
    <row r="177" spans="1:18" x14ac:dyDescent="0.35">
      <c r="A177" s="70" t="s">
        <v>76</v>
      </c>
      <c r="B177" s="70"/>
      <c r="C177" s="70"/>
      <c r="D177" s="70"/>
      <c r="E177" s="70"/>
      <c r="F177" s="70"/>
      <c r="G177" s="70"/>
      <c r="H177" s="70"/>
      <c r="I177" s="70"/>
      <c r="J177" s="70"/>
      <c r="K177" s="70"/>
      <c r="L177" s="70"/>
      <c r="M177" s="70"/>
      <c r="N177" s="70"/>
      <c r="O177" s="70"/>
      <c r="P177" s="70"/>
      <c r="Q177" s="70"/>
      <c r="R177" s="70"/>
    </row>
    <row r="178" spans="1:18" x14ac:dyDescent="0.35">
      <c r="A178" s="45" t="s">
        <v>106</v>
      </c>
      <c r="B178" s="45" t="s">
        <v>110</v>
      </c>
      <c r="C178" s="45" t="s">
        <v>111</v>
      </c>
      <c r="D178" s="45" t="s">
        <v>112</v>
      </c>
      <c r="E178" s="45" t="s">
        <v>113</v>
      </c>
      <c r="F178" s="45" t="s">
        <v>114</v>
      </c>
      <c r="G178" s="45" t="s">
        <v>115</v>
      </c>
      <c r="H178" s="45" t="s">
        <v>116</v>
      </c>
      <c r="I178" s="45" t="s">
        <v>117</v>
      </c>
      <c r="J178" s="45" t="s">
        <v>118</v>
      </c>
      <c r="K178" s="45" t="s">
        <v>119</v>
      </c>
      <c r="L178" s="45" t="s">
        <v>120</v>
      </c>
      <c r="M178" s="45" t="s">
        <v>121</v>
      </c>
      <c r="N178" s="45" t="s">
        <v>122</v>
      </c>
      <c r="O178" s="45" t="s">
        <v>124</v>
      </c>
      <c r="P178" s="45" t="s">
        <v>125</v>
      </c>
      <c r="Q178" s="45" t="s">
        <v>126</v>
      </c>
      <c r="R178" s="45" t="s">
        <v>127</v>
      </c>
    </row>
    <row r="179" spans="1:18" x14ac:dyDescent="0.35">
      <c r="A179" s="14" t="s">
        <v>130</v>
      </c>
      <c r="B179" s="14">
        <v>3</v>
      </c>
      <c r="C179" s="14">
        <v>2</v>
      </c>
      <c r="D179" s="14">
        <v>2</v>
      </c>
      <c r="E179" s="14">
        <v>2</v>
      </c>
      <c r="F179" s="14">
        <v>2</v>
      </c>
      <c r="G179" s="14">
        <v>3</v>
      </c>
      <c r="H179" s="14">
        <v>2</v>
      </c>
      <c r="I179" s="14">
        <v>3</v>
      </c>
      <c r="J179" s="14">
        <v>2</v>
      </c>
      <c r="K179" s="14">
        <v>3</v>
      </c>
      <c r="L179" s="14">
        <v>3</v>
      </c>
      <c r="M179" s="14">
        <v>2</v>
      </c>
      <c r="N179" s="14">
        <v>2</v>
      </c>
      <c r="O179" s="14">
        <v>2</v>
      </c>
      <c r="P179" s="14">
        <v>2</v>
      </c>
      <c r="Q179" s="14">
        <v>3</v>
      </c>
      <c r="R179" s="14">
        <v>2</v>
      </c>
    </row>
    <row r="180" spans="1:18" x14ac:dyDescent="0.35">
      <c r="A180" s="14" t="s">
        <v>134</v>
      </c>
      <c r="B180" s="14">
        <v>3</v>
      </c>
      <c r="C180" s="14">
        <v>2</v>
      </c>
      <c r="D180" s="14">
        <v>3</v>
      </c>
      <c r="E180" s="14">
        <v>2</v>
      </c>
      <c r="F180" s="14">
        <v>3</v>
      </c>
      <c r="G180" s="14">
        <v>2</v>
      </c>
      <c r="H180" s="14">
        <v>2</v>
      </c>
      <c r="I180" s="14">
        <v>3</v>
      </c>
      <c r="J180" s="14">
        <v>2</v>
      </c>
      <c r="K180" s="14">
        <v>2</v>
      </c>
      <c r="L180" s="14">
        <v>2</v>
      </c>
      <c r="M180" s="14">
        <v>3</v>
      </c>
      <c r="N180" s="14">
        <v>2</v>
      </c>
      <c r="O180" s="14">
        <v>3</v>
      </c>
      <c r="P180" s="14">
        <v>3</v>
      </c>
      <c r="Q180" s="14">
        <v>3</v>
      </c>
      <c r="R180" s="14">
        <v>2</v>
      </c>
    </row>
    <row r="181" spans="1:18" x14ac:dyDescent="0.35">
      <c r="A181" s="14" t="s">
        <v>241</v>
      </c>
      <c r="B181" s="14">
        <v>2</v>
      </c>
      <c r="C181" s="14">
        <v>3</v>
      </c>
      <c r="D181" s="14">
        <v>3</v>
      </c>
      <c r="E181" s="14">
        <v>2</v>
      </c>
      <c r="F181" s="14">
        <v>3</v>
      </c>
      <c r="G181" s="14">
        <v>2</v>
      </c>
      <c r="H181" s="14">
        <v>3</v>
      </c>
      <c r="I181" s="14">
        <v>3</v>
      </c>
      <c r="J181" s="14">
        <v>2</v>
      </c>
      <c r="K181" s="14">
        <v>3</v>
      </c>
      <c r="L181" s="14">
        <v>2</v>
      </c>
      <c r="M181" s="14">
        <v>3</v>
      </c>
      <c r="N181" s="14">
        <v>2</v>
      </c>
      <c r="O181" s="14">
        <v>3</v>
      </c>
      <c r="P181" s="14">
        <v>3</v>
      </c>
      <c r="Q181" s="14">
        <v>2</v>
      </c>
      <c r="R181" s="14">
        <v>3</v>
      </c>
    </row>
    <row r="182" spans="1:18" x14ac:dyDescent="0.35">
      <c r="A182" s="14" t="s">
        <v>244</v>
      </c>
      <c r="B182" s="14">
        <v>3</v>
      </c>
      <c r="C182" s="14">
        <v>2</v>
      </c>
      <c r="D182" s="14">
        <v>3</v>
      </c>
      <c r="E182" s="14">
        <v>2</v>
      </c>
      <c r="F182" s="14">
        <v>3</v>
      </c>
      <c r="G182" s="14">
        <v>2</v>
      </c>
      <c r="H182" s="14">
        <v>2</v>
      </c>
      <c r="I182" s="14">
        <v>2</v>
      </c>
      <c r="J182" s="14">
        <v>3</v>
      </c>
      <c r="K182" s="14">
        <v>2</v>
      </c>
      <c r="L182" s="14">
        <v>3</v>
      </c>
      <c r="M182" s="14">
        <v>2</v>
      </c>
      <c r="N182" s="14">
        <v>2</v>
      </c>
      <c r="O182" s="14">
        <v>2</v>
      </c>
      <c r="P182" s="14">
        <v>2</v>
      </c>
      <c r="Q182" s="14">
        <v>3</v>
      </c>
      <c r="R182" s="14">
        <v>2</v>
      </c>
    </row>
    <row r="183" spans="1:18" x14ac:dyDescent="0.35">
      <c r="A183" s="14" t="s">
        <v>137</v>
      </c>
      <c r="B183" s="14">
        <v>2</v>
      </c>
      <c r="C183" s="14">
        <v>2</v>
      </c>
      <c r="D183" s="14">
        <v>2</v>
      </c>
      <c r="E183" s="14">
        <v>3</v>
      </c>
      <c r="F183" s="14">
        <v>2</v>
      </c>
      <c r="G183" s="14">
        <v>2</v>
      </c>
      <c r="H183" s="14">
        <v>2</v>
      </c>
      <c r="I183" s="14">
        <v>2</v>
      </c>
      <c r="J183" s="14">
        <v>2</v>
      </c>
      <c r="K183" s="14">
        <v>3</v>
      </c>
      <c r="L183" s="14">
        <v>2</v>
      </c>
      <c r="M183" s="14">
        <v>2</v>
      </c>
      <c r="N183" s="14">
        <v>2</v>
      </c>
      <c r="O183" s="14">
        <v>2</v>
      </c>
      <c r="P183" s="14">
        <v>2</v>
      </c>
      <c r="Q183" s="14">
        <v>2</v>
      </c>
      <c r="R183" s="14">
        <v>3</v>
      </c>
    </row>
    <row r="188" spans="1:18" x14ac:dyDescent="0.35">
      <c r="A188" s="70" t="s">
        <v>251</v>
      </c>
      <c r="B188" s="70"/>
      <c r="C188" s="70"/>
      <c r="D188" s="70"/>
      <c r="E188" s="70"/>
      <c r="F188" s="70"/>
      <c r="G188" s="70"/>
      <c r="H188" s="70"/>
      <c r="I188" s="70"/>
      <c r="J188" s="70"/>
      <c r="K188" s="70"/>
      <c r="L188" s="70"/>
      <c r="M188" s="70"/>
    </row>
    <row r="189" spans="1:18" x14ac:dyDescent="0.35">
      <c r="A189" s="43" t="s">
        <v>236</v>
      </c>
      <c r="B189" s="45" t="s">
        <v>106</v>
      </c>
      <c r="C189" s="45" t="s">
        <v>49</v>
      </c>
      <c r="D189" s="45" t="s">
        <v>53</v>
      </c>
      <c r="E189" s="45" t="s">
        <v>58</v>
      </c>
      <c r="F189" s="45" t="s">
        <v>59</v>
      </c>
      <c r="G189" s="45" t="s">
        <v>88</v>
      </c>
      <c r="H189" s="45" t="s">
        <v>184</v>
      </c>
      <c r="I189" s="45" t="s">
        <v>185</v>
      </c>
      <c r="J189" s="42" t="s">
        <v>86</v>
      </c>
      <c r="K189" s="42" t="s">
        <v>87</v>
      </c>
      <c r="L189" s="42" t="s">
        <v>104</v>
      </c>
      <c r="M189" s="42" t="s">
        <v>191</v>
      </c>
    </row>
    <row r="190" spans="1:18" x14ac:dyDescent="0.35">
      <c r="A190" s="4">
        <v>1</v>
      </c>
      <c r="B190" s="14" t="s">
        <v>130</v>
      </c>
      <c r="C190" s="4">
        <f t="shared" ref="C190:C239" si="22">SQRT(SUMXMY2(B152:R152, $B$58:$R$58))</f>
        <v>4.3004286251393999</v>
      </c>
      <c r="D190" s="4">
        <f t="shared" ref="D190:D239" si="23">SQRT(SUMXMY2(B152:R152, $B$59:$R$59))</f>
        <v>4.4975500503121459</v>
      </c>
      <c r="E190" s="4">
        <f t="shared" ref="E190:E239" si="24">SQRT(SUMXMY2(B152:R152, $B$60:$R$60))</f>
        <v>4.5355376975139796</v>
      </c>
      <c r="F190" s="4">
        <f t="shared" ref="F190:F239" si="25">SQRT(SUMXMY2(B152:R152, $B$61:$R$61))</f>
        <v>5.4888009565504507</v>
      </c>
      <c r="G190" s="4">
        <f t="shared" ref="G190:G239" si="26">SQRT(SUMXMY2(B152:R152, $B$62:$R$62))</f>
        <v>3.8893361825161303</v>
      </c>
      <c r="H190" s="4">
        <f t="shared" ref="H190:H239" si="27">SQRT(SUMXMY2(B152:R152, $B$63:$R$63))</f>
        <v>5.0126775221062392</v>
      </c>
      <c r="I190" s="4">
        <f t="shared" ref="I190:I239" si="28">SQRT(SUMXMY2(B152:R152, $B$64:$R$64))</f>
        <v>5.1114514514596676</v>
      </c>
      <c r="J190" s="4">
        <f>MIN(C190:I190)</f>
        <v>3.8893361825161303</v>
      </c>
      <c r="K190" s="4" t="str">
        <f>"C"&amp;MATCH(J190,C190:I190,0)</f>
        <v>C5</v>
      </c>
      <c r="L190" s="14">
        <f>J190^2</f>
        <v>15.126935940629146</v>
      </c>
      <c r="M190" s="14" t="e">
        <f>SUM(L190:L214)</f>
        <v>#DIV/0!</v>
      </c>
    </row>
    <row r="191" spans="1:18" x14ac:dyDescent="0.35">
      <c r="A191" s="4">
        <v>2</v>
      </c>
      <c r="B191" s="14" t="s">
        <v>134</v>
      </c>
      <c r="C191" s="4">
        <f t="shared" si="22"/>
        <v>4.6605478635194162</v>
      </c>
      <c r="D191" s="4">
        <f t="shared" si="23"/>
        <v>3.9866682420679966</v>
      </c>
      <c r="E191" s="4">
        <f t="shared" si="24"/>
        <v>3.7505120925643829</v>
      </c>
      <c r="F191" s="4">
        <f t="shared" si="25"/>
        <v>5.1527058834951864</v>
      </c>
      <c r="G191" s="4">
        <f t="shared" si="26"/>
        <v>4.8350347090427155</v>
      </c>
      <c r="H191" s="4">
        <f t="shared" si="27"/>
        <v>4.64223846024802</v>
      </c>
      <c r="I191" s="4">
        <f t="shared" si="28"/>
        <v>4.6531063211836843</v>
      </c>
      <c r="J191" s="4">
        <f t="shared" ref="J191:J214" si="29">MIN(C191:I191)</f>
        <v>3.7505120925643829</v>
      </c>
      <c r="K191" s="4" t="str">
        <f t="shared" ref="K191:K214" si="30">"C"&amp;MATCH(J191,C191:I191,0)</f>
        <v>C3</v>
      </c>
      <c r="L191" s="14">
        <f t="shared" ref="L191:L211" si="31">J191^2</f>
        <v>14.066340956471667</v>
      </c>
    </row>
    <row r="192" spans="1:18" x14ac:dyDescent="0.35">
      <c r="A192" s="4">
        <v>3</v>
      </c>
      <c r="B192" s="14" t="s">
        <v>241</v>
      </c>
      <c r="C192" s="4">
        <f t="shared" si="22"/>
        <v>4.5551856851341244</v>
      </c>
      <c r="D192" s="4">
        <f t="shared" si="23"/>
        <v>4.6744772050449113</v>
      </c>
      <c r="E192" s="4">
        <f t="shared" si="24"/>
        <v>4.6960385613143956</v>
      </c>
      <c r="F192" s="4">
        <f t="shared" si="25"/>
        <v>5.5543439883108148</v>
      </c>
      <c r="G192" s="4">
        <f t="shared" si="26"/>
        <v>3.7177296022943001</v>
      </c>
      <c r="H192" s="4">
        <f t="shared" si="27"/>
        <v>5.0843620190230832</v>
      </c>
      <c r="I192" s="4">
        <f t="shared" si="28"/>
        <v>5.0942867660662889</v>
      </c>
      <c r="J192" s="4">
        <f t="shared" si="29"/>
        <v>3.7177296022943001</v>
      </c>
      <c r="K192" s="4" t="str">
        <f t="shared" si="30"/>
        <v>C5</v>
      </c>
      <c r="L192" s="14">
        <f t="shared" si="31"/>
        <v>13.821513395775334</v>
      </c>
    </row>
    <row r="193" spans="1:12" x14ac:dyDescent="0.35">
      <c r="A193" s="4">
        <v>4</v>
      </c>
      <c r="B193" s="14" t="s">
        <v>244</v>
      </c>
      <c r="C193" s="4">
        <f t="shared" si="22"/>
        <v>5.2106137444949843</v>
      </c>
      <c r="D193" s="4">
        <f t="shared" si="23"/>
        <v>3.8101503925185471</v>
      </c>
      <c r="E193" s="4">
        <f t="shared" si="24"/>
        <v>3.6367215168995353</v>
      </c>
      <c r="F193" s="4">
        <f t="shared" si="25"/>
        <v>5.0514597903585496</v>
      </c>
      <c r="G193" s="4">
        <f t="shared" si="26"/>
        <v>4.1413156839729135</v>
      </c>
      <c r="H193" s="4">
        <f t="shared" si="27"/>
        <v>4.5295966722887409</v>
      </c>
      <c r="I193" s="4">
        <f t="shared" si="28"/>
        <v>4.4178327281155898</v>
      </c>
      <c r="J193" s="4">
        <f t="shared" si="29"/>
        <v>3.6367215168995353</v>
      </c>
      <c r="K193" s="4" t="str">
        <f t="shared" si="30"/>
        <v>C3</v>
      </c>
      <c r="L193" s="14">
        <f t="shared" si="31"/>
        <v>13.225743391480057</v>
      </c>
    </row>
    <row r="194" spans="1:12" x14ac:dyDescent="0.35">
      <c r="A194" s="4">
        <v>5</v>
      </c>
      <c r="B194" s="14" t="s">
        <v>137</v>
      </c>
      <c r="C194" s="4" t="e">
        <f t="shared" si="22"/>
        <v>#DIV/0!</v>
      </c>
      <c r="D194" s="4" t="e">
        <f t="shared" si="23"/>
        <v>#DIV/0!</v>
      </c>
      <c r="E194" s="4" t="e">
        <f t="shared" si="24"/>
        <v>#DIV/0!</v>
      </c>
      <c r="F194" s="4" t="e">
        <f t="shared" si="25"/>
        <v>#DIV/0!</v>
      </c>
      <c r="G194" s="4" t="e">
        <f t="shared" si="26"/>
        <v>#DIV/0!</v>
      </c>
      <c r="H194" s="4" t="e">
        <f t="shared" si="27"/>
        <v>#DIV/0!</v>
      </c>
      <c r="I194" s="4" t="e">
        <f t="shared" si="28"/>
        <v>#DIV/0!</v>
      </c>
      <c r="J194" s="4" t="e">
        <f t="shared" si="29"/>
        <v>#DIV/0!</v>
      </c>
      <c r="K194" s="4" t="e">
        <f t="shared" si="30"/>
        <v>#DIV/0!</v>
      </c>
      <c r="L194" s="14" t="e">
        <f t="shared" si="31"/>
        <v>#DIV/0!</v>
      </c>
    </row>
    <row r="195" spans="1:12" x14ac:dyDescent="0.35">
      <c r="A195" s="4">
        <v>6</v>
      </c>
      <c r="B195" s="14" t="s">
        <v>140</v>
      </c>
      <c r="C195" s="4" t="e">
        <f t="shared" si="22"/>
        <v>#DIV/0!</v>
      </c>
      <c r="D195" s="4" t="e">
        <f t="shared" si="23"/>
        <v>#DIV/0!</v>
      </c>
      <c r="E195" s="4" t="e">
        <f t="shared" si="24"/>
        <v>#DIV/0!</v>
      </c>
      <c r="F195" s="4" t="e">
        <f t="shared" si="25"/>
        <v>#DIV/0!</v>
      </c>
      <c r="G195" s="4" t="e">
        <f t="shared" si="26"/>
        <v>#DIV/0!</v>
      </c>
      <c r="H195" s="4" t="e">
        <f t="shared" si="27"/>
        <v>#DIV/0!</v>
      </c>
      <c r="I195" s="4" t="e">
        <f t="shared" si="28"/>
        <v>#DIV/0!</v>
      </c>
      <c r="J195" s="4" t="e">
        <f t="shared" si="29"/>
        <v>#DIV/0!</v>
      </c>
      <c r="K195" s="4" t="e">
        <f t="shared" si="30"/>
        <v>#DIV/0!</v>
      </c>
      <c r="L195" s="14" t="e">
        <f t="shared" si="31"/>
        <v>#DIV/0!</v>
      </c>
    </row>
    <row r="196" spans="1:12" x14ac:dyDescent="0.35">
      <c r="A196" s="4">
        <v>7</v>
      </c>
      <c r="B196" s="14" t="s">
        <v>143</v>
      </c>
      <c r="C196" s="4" t="e">
        <f t="shared" si="22"/>
        <v>#DIV/0!</v>
      </c>
      <c r="D196" s="4" t="e">
        <f t="shared" si="23"/>
        <v>#DIV/0!</v>
      </c>
      <c r="E196" s="4" t="e">
        <f t="shared" si="24"/>
        <v>#DIV/0!</v>
      </c>
      <c r="F196" s="4" t="e">
        <f t="shared" si="25"/>
        <v>#DIV/0!</v>
      </c>
      <c r="G196" s="4" t="e">
        <f t="shared" si="26"/>
        <v>#DIV/0!</v>
      </c>
      <c r="H196" s="4" t="e">
        <f t="shared" si="27"/>
        <v>#DIV/0!</v>
      </c>
      <c r="I196" s="4" t="e">
        <f t="shared" si="28"/>
        <v>#DIV/0!</v>
      </c>
      <c r="J196" s="4" t="e">
        <f t="shared" si="29"/>
        <v>#DIV/0!</v>
      </c>
      <c r="K196" s="4" t="e">
        <f t="shared" si="30"/>
        <v>#DIV/0!</v>
      </c>
      <c r="L196" s="14" t="e">
        <f t="shared" si="31"/>
        <v>#DIV/0!</v>
      </c>
    </row>
    <row r="197" spans="1:12" x14ac:dyDescent="0.35">
      <c r="A197" s="4">
        <v>8</v>
      </c>
      <c r="B197" s="14" t="s">
        <v>146</v>
      </c>
      <c r="C197" s="4" t="e">
        <f t="shared" si="22"/>
        <v>#DIV/0!</v>
      </c>
      <c r="D197" s="4" t="e">
        <f t="shared" si="23"/>
        <v>#DIV/0!</v>
      </c>
      <c r="E197" s="4" t="e">
        <f t="shared" si="24"/>
        <v>#DIV/0!</v>
      </c>
      <c r="F197" s="4" t="e">
        <f t="shared" si="25"/>
        <v>#DIV/0!</v>
      </c>
      <c r="G197" s="4" t="e">
        <f t="shared" si="26"/>
        <v>#DIV/0!</v>
      </c>
      <c r="H197" s="4" t="e">
        <f t="shared" si="27"/>
        <v>#DIV/0!</v>
      </c>
      <c r="I197" s="4" t="e">
        <f t="shared" si="28"/>
        <v>#DIV/0!</v>
      </c>
      <c r="J197" s="4" t="e">
        <f t="shared" si="29"/>
        <v>#DIV/0!</v>
      </c>
      <c r="K197" s="4" t="e">
        <f t="shared" si="30"/>
        <v>#DIV/0!</v>
      </c>
      <c r="L197" s="14" t="e">
        <f t="shared" si="31"/>
        <v>#DIV/0!</v>
      </c>
    </row>
    <row r="198" spans="1:12" x14ac:dyDescent="0.35">
      <c r="A198" s="4">
        <v>9</v>
      </c>
      <c r="B198" s="14" t="s">
        <v>149</v>
      </c>
      <c r="C198" s="4" t="e">
        <f t="shared" si="22"/>
        <v>#DIV/0!</v>
      </c>
      <c r="D198" s="4" t="e">
        <f t="shared" si="23"/>
        <v>#DIV/0!</v>
      </c>
      <c r="E198" s="4" t="e">
        <f t="shared" si="24"/>
        <v>#DIV/0!</v>
      </c>
      <c r="F198" s="4" t="e">
        <f t="shared" si="25"/>
        <v>#DIV/0!</v>
      </c>
      <c r="G198" s="4" t="e">
        <f t="shared" si="26"/>
        <v>#DIV/0!</v>
      </c>
      <c r="H198" s="4" t="e">
        <f t="shared" si="27"/>
        <v>#DIV/0!</v>
      </c>
      <c r="I198" s="4" t="e">
        <f t="shared" si="28"/>
        <v>#DIV/0!</v>
      </c>
      <c r="J198" s="4" t="e">
        <f t="shared" si="29"/>
        <v>#DIV/0!</v>
      </c>
      <c r="K198" s="4" t="e">
        <f t="shared" si="30"/>
        <v>#DIV/0!</v>
      </c>
      <c r="L198" s="14" t="e">
        <f t="shared" si="31"/>
        <v>#DIV/0!</v>
      </c>
    </row>
    <row r="199" spans="1:12" x14ac:dyDescent="0.35">
      <c r="A199" s="4">
        <v>10</v>
      </c>
      <c r="B199" s="14" t="s">
        <v>151</v>
      </c>
      <c r="C199" s="4" t="e">
        <f t="shared" si="22"/>
        <v>#DIV/0!</v>
      </c>
      <c r="D199" s="4" t="e">
        <f t="shared" si="23"/>
        <v>#DIV/0!</v>
      </c>
      <c r="E199" s="4" t="e">
        <f t="shared" si="24"/>
        <v>#DIV/0!</v>
      </c>
      <c r="F199" s="4" t="e">
        <f t="shared" si="25"/>
        <v>#DIV/0!</v>
      </c>
      <c r="G199" s="4" t="e">
        <f t="shared" si="26"/>
        <v>#DIV/0!</v>
      </c>
      <c r="H199" s="4" t="e">
        <f t="shared" si="27"/>
        <v>#DIV/0!</v>
      </c>
      <c r="I199" s="4" t="e">
        <f t="shared" si="28"/>
        <v>#DIV/0!</v>
      </c>
      <c r="J199" s="4" t="e">
        <f t="shared" si="29"/>
        <v>#DIV/0!</v>
      </c>
      <c r="K199" s="4" t="e">
        <f t="shared" si="30"/>
        <v>#DIV/0!</v>
      </c>
      <c r="L199" s="14" t="e">
        <f t="shared" si="31"/>
        <v>#DIV/0!</v>
      </c>
    </row>
    <row r="200" spans="1:12" x14ac:dyDescent="0.35">
      <c r="A200" s="4">
        <v>11</v>
      </c>
      <c r="B200" s="14" t="s">
        <v>154</v>
      </c>
      <c r="C200" s="4">
        <f t="shared" si="22"/>
        <v>12.963564185193045</v>
      </c>
      <c r="D200" s="4">
        <f t="shared" si="23"/>
        <v>13.515725655437359</v>
      </c>
      <c r="E200" s="4">
        <f t="shared" si="24"/>
        <v>13.167981796187798</v>
      </c>
      <c r="F200" s="4">
        <f t="shared" si="25"/>
        <v>12.758719666527709</v>
      </c>
      <c r="G200" s="4">
        <f t="shared" si="26"/>
        <v>13.925838530920242</v>
      </c>
      <c r="H200" s="4">
        <f t="shared" si="27"/>
        <v>12.853808258007801</v>
      </c>
      <c r="I200" s="4">
        <f t="shared" si="28"/>
        <v>13.42606533138229</v>
      </c>
      <c r="J200" s="4">
        <f t="shared" si="29"/>
        <v>12.758719666527709</v>
      </c>
      <c r="K200" s="4" t="str">
        <f t="shared" si="30"/>
        <v>C4</v>
      </c>
      <c r="L200" s="14">
        <f t="shared" si="31"/>
        <v>162.78492752904091</v>
      </c>
    </row>
    <row r="201" spans="1:12" x14ac:dyDescent="0.35">
      <c r="A201" s="4">
        <v>12</v>
      </c>
      <c r="B201" s="14" t="s">
        <v>157</v>
      </c>
      <c r="C201" s="4">
        <f t="shared" si="22"/>
        <v>11.938649208686241</v>
      </c>
      <c r="D201" s="4">
        <f t="shared" si="23"/>
        <v>12.63100323462932</v>
      </c>
      <c r="E201" s="4">
        <f t="shared" si="24"/>
        <v>12.249972321587054</v>
      </c>
      <c r="F201" s="4">
        <f t="shared" si="25"/>
        <v>11.8174861266129</v>
      </c>
      <c r="G201" s="4">
        <f t="shared" si="26"/>
        <v>12.993370829057509</v>
      </c>
      <c r="H201" s="4">
        <f t="shared" si="27"/>
        <v>11.913287597740911</v>
      </c>
      <c r="I201" s="4">
        <f t="shared" si="28"/>
        <v>12.531770497063492</v>
      </c>
      <c r="J201" s="4">
        <f t="shared" si="29"/>
        <v>11.8174861266129</v>
      </c>
      <c r="K201" s="4" t="str">
        <f t="shared" si="30"/>
        <v>C4</v>
      </c>
      <c r="L201" s="14">
        <f t="shared" si="31"/>
        <v>139.65297835268836</v>
      </c>
    </row>
    <row r="202" spans="1:12" x14ac:dyDescent="0.35">
      <c r="A202" s="4">
        <v>13</v>
      </c>
      <c r="B202" s="14" t="s">
        <v>160</v>
      </c>
      <c r="C202" s="4">
        <f t="shared" si="22"/>
        <v>13.644582669755767</v>
      </c>
      <c r="D202" s="4">
        <f t="shared" si="23"/>
        <v>14.34582028000427</v>
      </c>
      <c r="E202" s="4">
        <f t="shared" si="24"/>
        <v>14.067467846507133</v>
      </c>
      <c r="F202" s="4">
        <f t="shared" si="25"/>
        <v>13.532737017887237</v>
      </c>
      <c r="G202" s="4">
        <f t="shared" si="26"/>
        <v>14.674940020841031</v>
      </c>
      <c r="H202" s="4">
        <f t="shared" si="27"/>
        <v>13.634364945563226</v>
      </c>
      <c r="I202" s="4">
        <f t="shared" si="28"/>
        <v>14.285420211982139</v>
      </c>
      <c r="J202" s="4">
        <f t="shared" si="29"/>
        <v>13.532737017887237</v>
      </c>
      <c r="K202" s="4" t="str">
        <f t="shared" si="30"/>
        <v>C4</v>
      </c>
      <c r="L202" s="14">
        <f t="shared" si="31"/>
        <v>183.13497119529555</v>
      </c>
    </row>
    <row r="203" spans="1:12" x14ac:dyDescent="0.35">
      <c r="A203" s="4">
        <v>14</v>
      </c>
      <c r="B203" s="14" t="s">
        <v>163</v>
      </c>
      <c r="C203" s="4">
        <f t="shared" si="22"/>
        <v>13.585395395230671</v>
      </c>
      <c r="D203" s="4">
        <f t="shared" si="23"/>
        <v>14.220946218237234</v>
      </c>
      <c r="E203" s="4">
        <f t="shared" si="24"/>
        <v>13.89478165042363</v>
      </c>
      <c r="F203" s="4">
        <f t="shared" si="25"/>
        <v>13.38958054283856</v>
      </c>
      <c r="G203" s="4">
        <f t="shared" si="26"/>
        <v>14.564034246344058</v>
      </c>
      <c r="H203" s="4">
        <f t="shared" si="27"/>
        <v>13.489661481900891</v>
      </c>
      <c r="I203" s="4">
        <f t="shared" si="28"/>
        <v>14.126816745268959</v>
      </c>
      <c r="J203" s="4">
        <f t="shared" si="29"/>
        <v>13.38958054283856</v>
      </c>
      <c r="K203" s="4" t="str">
        <f t="shared" si="30"/>
        <v>C4</v>
      </c>
      <c r="L203" s="14">
        <f t="shared" si="31"/>
        <v>179.28086711316095</v>
      </c>
    </row>
    <row r="204" spans="1:12" x14ac:dyDescent="0.35">
      <c r="A204" s="4">
        <v>15</v>
      </c>
      <c r="B204" s="14" t="s">
        <v>166</v>
      </c>
      <c r="C204" s="4">
        <f t="shared" si="22"/>
        <v>3.6926386115763288</v>
      </c>
      <c r="D204" s="4">
        <f t="shared" si="23"/>
        <v>4.5393386996609077</v>
      </c>
      <c r="E204" s="4">
        <f t="shared" si="24"/>
        <v>4.4844866901937612</v>
      </c>
      <c r="F204" s="4">
        <f t="shared" si="25"/>
        <v>3.9546151307809096</v>
      </c>
      <c r="G204" s="4">
        <f t="shared" si="26"/>
        <v>4.761176073365692</v>
      </c>
      <c r="H204" s="4">
        <f t="shared" si="27"/>
        <v>3.9390701210800709</v>
      </c>
      <c r="I204" s="4">
        <f t="shared" si="28"/>
        <v>4.7597982869068911</v>
      </c>
      <c r="J204" s="4">
        <f t="shared" si="29"/>
        <v>3.6926386115763288</v>
      </c>
      <c r="K204" s="4" t="str">
        <f t="shared" si="30"/>
        <v>C1</v>
      </c>
      <c r="L204" s="14">
        <f t="shared" si="31"/>
        <v>13.635579915704357</v>
      </c>
    </row>
    <row r="205" spans="1:12" x14ac:dyDescent="0.35">
      <c r="A205" s="4">
        <v>16</v>
      </c>
      <c r="B205" s="14" t="s">
        <v>169</v>
      </c>
      <c r="C205" s="4">
        <f t="shared" si="22"/>
        <v>1.3339431730797933</v>
      </c>
      <c r="D205" s="4">
        <f t="shared" si="23"/>
        <v>2.0817777484902877</v>
      </c>
      <c r="E205" s="4">
        <f t="shared" si="24"/>
        <v>2.4455261682716403</v>
      </c>
      <c r="F205" s="4">
        <f t="shared" si="25"/>
        <v>1.9165603779700708</v>
      </c>
      <c r="G205" s="4">
        <f t="shared" si="26"/>
        <v>2.380513061186039</v>
      </c>
      <c r="H205" s="4">
        <f t="shared" si="27"/>
        <v>1.6132144582175036</v>
      </c>
      <c r="I205" s="4">
        <f t="shared" si="28"/>
        <v>2.6398468948877944</v>
      </c>
      <c r="J205" s="4">
        <f t="shared" si="29"/>
        <v>1.3339431730797933</v>
      </c>
      <c r="K205" s="4" t="str">
        <f t="shared" si="30"/>
        <v>C1</v>
      </c>
      <c r="L205" s="14">
        <f t="shared" si="31"/>
        <v>1.7794043890061872</v>
      </c>
    </row>
    <row r="206" spans="1:12" x14ac:dyDescent="0.35">
      <c r="A206" s="4">
        <v>17</v>
      </c>
      <c r="B206" s="14" t="s">
        <v>172</v>
      </c>
      <c r="C206" s="4">
        <f t="shared" si="22"/>
        <v>1.4310982462917849</v>
      </c>
      <c r="D206" s="4">
        <f t="shared" si="23"/>
        <v>2.2525277146663516</v>
      </c>
      <c r="E206" s="4">
        <f t="shared" si="24"/>
        <v>2.3351383051494299</v>
      </c>
      <c r="F206" s="4">
        <f t="shared" si="25"/>
        <v>1.8286053801610187</v>
      </c>
      <c r="G206" s="4">
        <f t="shared" si="26"/>
        <v>2.3264446101831631</v>
      </c>
      <c r="H206" s="4">
        <f t="shared" si="27"/>
        <v>1.4966601312114536</v>
      </c>
      <c r="I206" s="4">
        <f t="shared" si="28"/>
        <v>2.5378103321304937</v>
      </c>
      <c r="J206" s="4">
        <f t="shared" si="29"/>
        <v>1.4310982462917849</v>
      </c>
      <c r="K206" s="4" t="str">
        <f t="shared" si="30"/>
        <v>C1</v>
      </c>
      <c r="L206" s="14">
        <f t="shared" si="31"/>
        <v>2.0480421905394222</v>
      </c>
    </row>
    <row r="207" spans="1:12" x14ac:dyDescent="0.35">
      <c r="A207" s="4">
        <v>18</v>
      </c>
      <c r="B207" s="14" t="s">
        <v>175</v>
      </c>
      <c r="C207" s="4">
        <f t="shared" si="22"/>
        <v>6.656625821481593</v>
      </c>
      <c r="D207" s="4">
        <f t="shared" si="23"/>
        <v>7.4838536863096605</v>
      </c>
      <c r="E207" s="4">
        <f t="shared" si="24"/>
        <v>7.3194286486623223</v>
      </c>
      <c r="F207" s="4">
        <f t="shared" si="25"/>
        <v>6.6935093952803646</v>
      </c>
      <c r="G207" s="4">
        <f t="shared" si="26"/>
        <v>7.7396387822945503</v>
      </c>
      <c r="H207" s="4">
        <f t="shared" si="27"/>
        <v>6.7636477412011482</v>
      </c>
      <c r="I207" s="4">
        <f t="shared" si="28"/>
        <v>7.5182416449791774</v>
      </c>
      <c r="J207" s="4">
        <f t="shared" si="29"/>
        <v>6.656625821481593</v>
      </c>
      <c r="K207" s="4" t="str">
        <f t="shared" si="30"/>
        <v>C1</v>
      </c>
      <c r="L207" s="14">
        <f t="shared" si="31"/>
        <v>44.310667327215491</v>
      </c>
    </row>
    <row r="208" spans="1:12" x14ac:dyDescent="0.35">
      <c r="A208" s="4">
        <v>19</v>
      </c>
      <c r="B208" s="14" t="s">
        <v>178</v>
      </c>
      <c r="C208" s="4">
        <f t="shared" si="22"/>
        <v>3.3703027788492288</v>
      </c>
      <c r="D208" s="4">
        <f t="shared" si="23"/>
        <v>4.2183042857217981</v>
      </c>
      <c r="E208" s="4">
        <f t="shared" si="24"/>
        <v>4.1955811663367024</v>
      </c>
      <c r="F208" s="4">
        <f t="shared" si="25"/>
        <v>3.3931867606049817</v>
      </c>
      <c r="G208" s="4">
        <f t="shared" si="26"/>
        <v>4.393008561604308</v>
      </c>
      <c r="H208" s="4">
        <f t="shared" si="27"/>
        <v>3.3783631869813813</v>
      </c>
      <c r="I208" s="4">
        <f t="shared" si="28"/>
        <v>4.2691091789902016</v>
      </c>
      <c r="J208" s="4">
        <f t="shared" si="29"/>
        <v>3.3703027788492288</v>
      </c>
      <c r="K208" s="4" t="str">
        <f t="shared" si="30"/>
        <v>C1</v>
      </c>
      <c r="L208" s="14">
        <f t="shared" si="31"/>
        <v>11.358940821118834</v>
      </c>
    </row>
    <row r="209" spans="1:13" x14ac:dyDescent="0.35">
      <c r="A209" s="4">
        <v>20</v>
      </c>
      <c r="B209" s="14" t="s">
        <v>181</v>
      </c>
      <c r="C209" s="4">
        <f t="shared" si="22"/>
        <v>4.2328340537116143</v>
      </c>
      <c r="D209" s="4">
        <f t="shared" si="23"/>
        <v>4.8347310753497084</v>
      </c>
      <c r="E209" s="4">
        <f t="shared" si="24"/>
        <v>4.6273283049980103</v>
      </c>
      <c r="F209" s="4">
        <f t="shared" si="25"/>
        <v>4.216376812973941</v>
      </c>
      <c r="G209" s="4">
        <f t="shared" si="26"/>
        <v>5.1972060745063606</v>
      </c>
      <c r="H209" s="4">
        <f t="shared" si="27"/>
        <v>4.2218549694266176</v>
      </c>
      <c r="I209" s="4">
        <f t="shared" si="28"/>
        <v>4.9212902232673104</v>
      </c>
      <c r="J209" s="4">
        <f t="shared" si="29"/>
        <v>4.216376812973941</v>
      </c>
      <c r="K209" s="4" t="str">
        <f t="shared" si="30"/>
        <v>C4</v>
      </c>
      <c r="L209" s="14">
        <f t="shared" si="31"/>
        <v>17.777833428984287</v>
      </c>
    </row>
    <row r="210" spans="1:13" x14ac:dyDescent="0.35">
      <c r="A210" s="4">
        <v>21</v>
      </c>
      <c r="B210" s="14" t="s">
        <v>227</v>
      </c>
      <c r="C210" s="4">
        <f t="shared" si="22"/>
        <v>4.5051125154166582</v>
      </c>
      <c r="D210" s="4">
        <f t="shared" si="23"/>
        <v>5.0638531411744685</v>
      </c>
      <c r="E210" s="4">
        <f t="shared" si="24"/>
        <v>4.8240443918371687</v>
      </c>
      <c r="F210" s="4">
        <f t="shared" si="25"/>
        <v>4.4399437535643553</v>
      </c>
      <c r="G210" s="4">
        <f t="shared" si="26"/>
        <v>5.4535228583180713</v>
      </c>
      <c r="H210" s="4">
        <f t="shared" si="27"/>
        <v>4.4531870706653649</v>
      </c>
      <c r="I210" s="4">
        <f t="shared" si="28"/>
        <v>5.138217305170496</v>
      </c>
      <c r="J210" s="4">
        <f t="shared" si="29"/>
        <v>4.4399437535643553</v>
      </c>
      <c r="K210" s="4" t="str">
        <f t="shared" si="30"/>
        <v>C4</v>
      </c>
      <c r="L210" s="14">
        <f t="shared" si="31"/>
        <v>19.713100534815137</v>
      </c>
    </row>
    <row r="211" spans="1:13" x14ac:dyDescent="0.35">
      <c r="A211" s="4">
        <v>22</v>
      </c>
      <c r="B211" s="14" t="s">
        <v>224</v>
      </c>
      <c r="C211" s="4" t="e">
        <f t="shared" si="22"/>
        <v>#DIV/0!</v>
      </c>
      <c r="D211" s="4" t="e">
        <f t="shared" si="23"/>
        <v>#DIV/0!</v>
      </c>
      <c r="E211" s="4" t="e">
        <f t="shared" si="24"/>
        <v>#DIV/0!</v>
      </c>
      <c r="F211" s="4" t="e">
        <f t="shared" si="25"/>
        <v>#DIV/0!</v>
      </c>
      <c r="G211" s="4" t="e">
        <f t="shared" si="26"/>
        <v>#DIV/0!</v>
      </c>
      <c r="H211" s="4" t="e">
        <f t="shared" si="27"/>
        <v>#DIV/0!</v>
      </c>
      <c r="I211" s="4" t="e">
        <f t="shared" si="28"/>
        <v>#DIV/0!</v>
      </c>
      <c r="J211" s="4" t="e">
        <f t="shared" si="29"/>
        <v>#DIV/0!</v>
      </c>
      <c r="K211" s="4" t="e">
        <f t="shared" si="30"/>
        <v>#DIV/0!</v>
      </c>
      <c r="L211" s="14" t="e">
        <f t="shared" si="31"/>
        <v>#DIV/0!</v>
      </c>
    </row>
    <row r="212" spans="1:13" x14ac:dyDescent="0.35">
      <c r="A212" s="4">
        <v>23</v>
      </c>
      <c r="B212" s="14" t="s">
        <v>248</v>
      </c>
      <c r="C212" s="4" t="e">
        <f t="shared" si="22"/>
        <v>#DIV/0!</v>
      </c>
      <c r="D212" s="4" t="e">
        <f t="shared" si="23"/>
        <v>#DIV/0!</v>
      </c>
      <c r="E212" s="4" t="e">
        <f t="shared" si="24"/>
        <v>#DIV/0!</v>
      </c>
      <c r="F212" s="4" t="e">
        <f t="shared" si="25"/>
        <v>#DIV/0!</v>
      </c>
      <c r="G212" s="4" t="e">
        <f t="shared" si="26"/>
        <v>#DIV/0!</v>
      </c>
      <c r="H212" s="4" t="e">
        <f t="shared" si="27"/>
        <v>#DIV/0!</v>
      </c>
      <c r="I212" s="4" t="e">
        <f t="shared" si="28"/>
        <v>#DIV/0!</v>
      </c>
      <c r="J212" s="4" t="e">
        <f t="shared" si="29"/>
        <v>#DIV/0!</v>
      </c>
      <c r="K212" s="4" t="e">
        <f t="shared" si="30"/>
        <v>#DIV/0!</v>
      </c>
      <c r="L212" s="14" t="e">
        <f>J212^2</f>
        <v>#DIV/0!</v>
      </c>
    </row>
    <row r="213" spans="1:13" x14ac:dyDescent="0.35">
      <c r="A213" s="4">
        <v>24</v>
      </c>
      <c r="B213" s="14" t="s">
        <v>226</v>
      </c>
      <c r="C213" s="4" t="e">
        <f t="shared" si="22"/>
        <v>#DIV/0!</v>
      </c>
      <c r="D213" s="4" t="e">
        <f t="shared" si="23"/>
        <v>#DIV/0!</v>
      </c>
      <c r="E213" s="4" t="e">
        <f t="shared" si="24"/>
        <v>#DIV/0!</v>
      </c>
      <c r="F213" s="4" t="e">
        <f t="shared" si="25"/>
        <v>#DIV/0!</v>
      </c>
      <c r="G213" s="4" t="e">
        <f t="shared" si="26"/>
        <v>#DIV/0!</v>
      </c>
      <c r="H213" s="4" t="e">
        <f t="shared" si="27"/>
        <v>#DIV/0!</v>
      </c>
      <c r="I213" s="4" t="e">
        <f t="shared" si="28"/>
        <v>#DIV/0!</v>
      </c>
      <c r="J213" s="4" t="e">
        <f t="shared" si="29"/>
        <v>#DIV/0!</v>
      </c>
      <c r="K213" s="4" t="e">
        <f t="shared" si="30"/>
        <v>#DIV/0!</v>
      </c>
      <c r="L213" s="14" t="e">
        <f t="shared" ref="L213:L214" si="32">J213^2</f>
        <v>#DIV/0!</v>
      </c>
    </row>
    <row r="214" spans="1:13" x14ac:dyDescent="0.35">
      <c r="A214" s="4">
        <v>25</v>
      </c>
      <c r="B214" s="14" t="s">
        <v>225</v>
      </c>
      <c r="C214" s="4" t="e">
        <f t="shared" si="22"/>
        <v>#DIV/0!</v>
      </c>
      <c r="D214" s="4" t="e">
        <f t="shared" si="23"/>
        <v>#DIV/0!</v>
      </c>
      <c r="E214" s="4" t="e">
        <f t="shared" si="24"/>
        <v>#DIV/0!</v>
      </c>
      <c r="F214" s="4" t="e">
        <f t="shared" si="25"/>
        <v>#DIV/0!</v>
      </c>
      <c r="G214" s="4" t="e">
        <f t="shared" si="26"/>
        <v>#DIV/0!</v>
      </c>
      <c r="H214" s="4" t="e">
        <f t="shared" si="27"/>
        <v>#DIV/0!</v>
      </c>
      <c r="I214" s="4" t="e">
        <f t="shared" si="28"/>
        <v>#DIV/0!</v>
      </c>
      <c r="J214" s="4" t="e">
        <f t="shared" si="29"/>
        <v>#DIV/0!</v>
      </c>
      <c r="K214" s="4" t="e">
        <f t="shared" si="30"/>
        <v>#DIV/0!</v>
      </c>
      <c r="L214" s="14" t="e">
        <f t="shared" si="32"/>
        <v>#DIV/0!</v>
      </c>
    </row>
    <row r="215" spans="1:13" x14ac:dyDescent="0.35">
      <c r="A215" s="4">
        <v>26</v>
      </c>
      <c r="B215" s="14" t="s">
        <v>130</v>
      </c>
      <c r="C215" s="4" t="e">
        <f t="shared" si="22"/>
        <v>#DIV/0!</v>
      </c>
      <c r="D215" s="4" t="e">
        <f t="shared" si="23"/>
        <v>#DIV/0!</v>
      </c>
      <c r="E215" s="4" t="e">
        <f t="shared" si="24"/>
        <v>#DIV/0!</v>
      </c>
      <c r="F215" s="4" t="e">
        <f t="shared" si="25"/>
        <v>#DIV/0!</v>
      </c>
      <c r="G215" s="4" t="e">
        <f t="shared" si="26"/>
        <v>#DIV/0!</v>
      </c>
      <c r="H215" s="4" t="e">
        <f t="shared" si="27"/>
        <v>#DIV/0!</v>
      </c>
      <c r="I215" s="4" t="e">
        <f t="shared" si="28"/>
        <v>#DIV/0!</v>
      </c>
      <c r="J215" s="4" t="e">
        <f>MIN(C215:I215)</f>
        <v>#DIV/0!</v>
      </c>
      <c r="K215" s="4" t="e">
        <f>"C"&amp;MATCH(J215,C215:I215,0)</f>
        <v>#DIV/0!</v>
      </c>
      <c r="L215" s="14" t="e">
        <f>J215^2</f>
        <v>#DIV/0!</v>
      </c>
      <c r="M215" s="14" t="e">
        <f>SUM(L215:L239)</f>
        <v>#DIV/0!</v>
      </c>
    </row>
    <row r="216" spans="1:13" x14ac:dyDescent="0.35">
      <c r="A216" s="4">
        <v>27</v>
      </c>
      <c r="B216" s="14" t="s">
        <v>134</v>
      </c>
      <c r="C216" s="4" t="e">
        <f t="shared" si="22"/>
        <v>#DIV/0!</v>
      </c>
      <c r="D216" s="4" t="e">
        <f t="shared" si="23"/>
        <v>#DIV/0!</v>
      </c>
      <c r="E216" s="4" t="e">
        <f t="shared" si="24"/>
        <v>#DIV/0!</v>
      </c>
      <c r="F216" s="4" t="e">
        <f t="shared" si="25"/>
        <v>#DIV/0!</v>
      </c>
      <c r="G216" s="4" t="e">
        <f t="shared" si="26"/>
        <v>#DIV/0!</v>
      </c>
      <c r="H216" s="4" t="e">
        <f t="shared" si="27"/>
        <v>#DIV/0!</v>
      </c>
      <c r="I216" s="4" t="e">
        <f t="shared" si="28"/>
        <v>#DIV/0!</v>
      </c>
      <c r="J216" s="4" t="e">
        <f t="shared" ref="J216:J239" si="33">MIN(C216:I216)</f>
        <v>#DIV/0!</v>
      </c>
      <c r="K216" s="4" t="e">
        <f t="shared" ref="K216:K239" si="34">"C"&amp;MATCH(J216,C216:I216,0)</f>
        <v>#DIV/0!</v>
      </c>
      <c r="L216" s="14" t="e">
        <f t="shared" ref="L216:L236" si="35">J216^2</f>
        <v>#DIV/0!</v>
      </c>
    </row>
    <row r="217" spans="1:13" x14ac:dyDescent="0.35">
      <c r="A217" s="4">
        <v>28</v>
      </c>
      <c r="B217" s="14" t="s">
        <v>241</v>
      </c>
      <c r="C217" s="4">
        <f t="shared" si="22"/>
        <v>0</v>
      </c>
      <c r="D217" s="4">
        <f t="shared" si="23"/>
        <v>2.8284271247461903</v>
      </c>
      <c r="E217" s="4">
        <f t="shared" si="24"/>
        <v>3.4641016151377544</v>
      </c>
      <c r="F217" s="4">
        <f t="shared" si="25"/>
        <v>2.4494897427831779</v>
      </c>
      <c r="G217" s="4">
        <f t="shared" si="26"/>
        <v>2.6457513110645907</v>
      </c>
      <c r="H217" s="4">
        <f t="shared" si="27"/>
        <v>3.1622776601683795</v>
      </c>
      <c r="I217" s="4">
        <f t="shared" si="28"/>
        <v>3.1622776601683795</v>
      </c>
      <c r="J217" s="4">
        <f t="shared" si="33"/>
        <v>0</v>
      </c>
      <c r="K217" s="4" t="str">
        <f t="shared" si="34"/>
        <v>C1</v>
      </c>
      <c r="L217" s="14">
        <f t="shared" si="35"/>
        <v>0</v>
      </c>
    </row>
    <row r="218" spans="1:13" x14ac:dyDescent="0.35">
      <c r="A218" s="4">
        <v>29</v>
      </c>
      <c r="B218" s="14" t="s">
        <v>244</v>
      </c>
      <c r="C218" s="4">
        <f t="shared" si="22"/>
        <v>2.8284271247461903</v>
      </c>
      <c r="D218" s="4">
        <f t="shared" si="23"/>
        <v>0</v>
      </c>
      <c r="E218" s="4">
        <f t="shared" si="24"/>
        <v>2.4494897427831779</v>
      </c>
      <c r="F218" s="4">
        <f t="shared" si="25"/>
        <v>2.4494897427831779</v>
      </c>
      <c r="G218" s="4">
        <f t="shared" si="26"/>
        <v>3.3166247903553998</v>
      </c>
      <c r="H218" s="4">
        <f t="shared" si="27"/>
        <v>2</v>
      </c>
      <c r="I218" s="4">
        <f t="shared" si="28"/>
        <v>2.4494897427831779</v>
      </c>
      <c r="J218" s="4">
        <f t="shared" si="33"/>
        <v>0</v>
      </c>
      <c r="K218" s="4" t="str">
        <f t="shared" si="34"/>
        <v>C2</v>
      </c>
      <c r="L218" s="14">
        <f t="shared" si="35"/>
        <v>0</v>
      </c>
    </row>
    <row r="219" spans="1:13" x14ac:dyDescent="0.35">
      <c r="A219" s="4">
        <v>30</v>
      </c>
      <c r="B219" s="14" t="s">
        <v>137</v>
      </c>
      <c r="C219" s="4">
        <f t="shared" si="22"/>
        <v>3.4641016151377544</v>
      </c>
      <c r="D219" s="4">
        <f t="shared" si="23"/>
        <v>2.4494897427831779</v>
      </c>
      <c r="E219" s="4">
        <f t="shared" si="24"/>
        <v>0</v>
      </c>
      <c r="F219" s="4">
        <f t="shared" si="25"/>
        <v>3.4641016151377544</v>
      </c>
      <c r="G219" s="4">
        <f t="shared" si="26"/>
        <v>3</v>
      </c>
      <c r="H219" s="4">
        <f t="shared" si="27"/>
        <v>2.4494897427831779</v>
      </c>
      <c r="I219" s="4">
        <f t="shared" si="28"/>
        <v>2.8284271247461903</v>
      </c>
      <c r="J219" s="4">
        <f t="shared" si="33"/>
        <v>0</v>
      </c>
      <c r="K219" s="4" t="str">
        <f t="shared" si="34"/>
        <v>C3</v>
      </c>
      <c r="L219" s="14">
        <f t="shared" si="35"/>
        <v>0</v>
      </c>
    </row>
    <row r="220" spans="1:13" x14ac:dyDescent="0.35">
      <c r="A220" s="4">
        <v>31</v>
      </c>
      <c r="B220" s="14" t="s">
        <v>140</v>
      </c>
      <c r="C220" s="4">
        <f t="shared" si="22"/>
        <v>2.4494897427831779</v>
      </c>
      <c r="D220" s="4">
        <f t="shared" si="23"/>
        <v>2.4494897427831779</v>
      </c>
      <c r="E220" s="4">
        <f t="shared" si="24"/>
        <v>3.4641016151377544</v>
      </c>
      <c r="F220" s="4">
        <f t="shared" si="25"/>
        <v>0</v>
      </c>
      <c r="G220" s="4">
        <f t="shared" si="26"/>
        <v>3</v>
      </c>
      <c r="H220" s="4">
        <f t="shared" si="27"/>
        <v>2.4494897427831779</v>
      </c>
      <c r="I220" s="4">
        <f t="shared" si="28"/>
        <v>2</v>
      </c>
      <c r="J220" s="4">
        <f t="shared" si="33"/>
        <v>0</v>
      </c>
      <c r="K220" s="4" t="str">
        <f t="shared" si="34"/>
        <v>C4</v>
      </c>
      <c r="L220" s="14">
        <f t="shared" si="35"/>
        <v>0</v>
      </c>
    </row>
    <row r="221" spans="1:13" x14ac:dyDescent="0.35">
      <c r="A221" s="4">
        <v>32</v>
      </c>
      <c r="B221" s="14" t="s">
        <v>143</v>
      </c>
      <c r="C221" s="4">
        <f t="shared" si="22"/>
        <v>2.6457513110645907</v>
      </c>
      <c r="D221" s="4">
        <f t="shared" si="23"/>
        <v>3.3166247903553998</v>
      </c>
      <c r="E221" s="4">
        <f t="shared" si="24"/>
        <v>3</v>
      </c>
      <c r="F221" s="4">
        <f t="shared" si="25"/>
        <v>3</v>
      </c>
      <c r="G221" s="4">
        <f t="shared" si="26"/>
        <v>0</v>
      </c>
      <c r="H221" s="4">
        <f t="shared" si="27"/>
        <v>3</v>
      </c>
      <c r="I221" s="4">
        <f t="shared" si="28"/>
        <v>3</v>
      </c>
      <c r="J221" s="4">
        <f t="shared" si="33"/>
        <v>0</v>
      </c>
      <c r="K221" s="4" t="str">
        <f t="shared" si="34"/>
        <v>C5</v>
      </c>
      <c r="L221" s="14">
        <f t="shared" si="35"/>
        <v>0</v>
      </c>
    </row>
    <row r="222" spans="1:13" x14ac:dyDescent="0.35">
      <c r="A222" s="4">
        <v>33</v>
      </c>
      <c r="B222" s="14" t="s">
        <v>146</v>
      </c>
      <c r="C222" s="4" t="e">
        <f t="shared" si="22"/>
        <v>#DIV/0!</v>
      </c>
      <c r="D222" s="4" t="e">
        <f t="shared" si="23"/>
        <v>#DIV/0!</v>
      </c>
      <c r="E222" s="4" t="e">
        <f t="shared" si="24"/>
        <v>#DIV/0!</v>
      </c>
      <c r="F222" s="4" t="e">
        <f t="shared" si="25"/>
        <v>#DIV/0!</v>
      </c>
      <c r="G222" s="4" t="e">
        <f t="shared" si="26"/>
        <v>#DIV/0!</v>
      </c>
      <c r="H222" s="4" t="e">
        <f t="shared" si="27"/>
        <v>#DIV/0!</v>
      </c>
      <c r="I222" s="4" t="e">
        <f t="shared" si="28"/>
        <v>#DIV/0!</v>
      </c>
      <c r="J222" s="4" t="e">
        <f t="shared" si="33"/>
        <v>#DIV/0!</v>
      </c>
      <c r="K222" s="4" t="e">
        <f t="shared" si="34"/>
        <v>#DIV/0!</v>
      </c>
      <c r="L222" s="14" t="e">
        <f t="shared" si="35"/>
        <v>#DIV/0!</v>
      </c>
    </row>
    <row r="223" spans="1:13" x14ac:dyDescent="0.35">
      <c r="A223" s="4">
        <v>34</v>
      </c>
      <c r="B223" s="14" t="s">
        <v>149</v>
      </c>
      <c r="C223" s="4" t="e">
        <f t="shared" si="22"/>
        <v>#DIV/0!</v>
      </c>
      <c r="D223" s="4" t="e">
        <f t="shared" si="23"/>
        <v>#DIV/0!</v>
      </c>
      <c r="E223" s="4" t="e">
        <f t="shared" si="24"/>
        <v>#DIV/0!</v>
      </c>
      <c r="F223" s="4" t="e">
        <f t="shared" si="25"/>
        <v>#DIV/0!</v>
      </c>
      <c r="G223" s="4" t="e">
        <f t="shared" si="26"/>
        <v>#DIV/0!</v>
      </c>
      <c r="H223" s="4" t="e">
        <f t="shared" si="27"/>
        <v>#DIV/0!</v>
      </c>
      <c r="I223" s="4" t="e">
        <f t="shared" si="28"/>
        <v>#DIV/0!</v>
      </c>
      <c r="J223" s="4" t="e">
        <f t="shared" si="33"/>
        <v>#DIV/0!</v>
      </c>
      <c r="K223" s="4" t="e">
        <f t="shared" si="34"/>
        <v>#DIV/0!</v>
      </c>
      <c r="L223" s="14" t="e">
        <f t="shared" si="35"/>
        <v>#DIV/0!</v>
      </c>
    </row>
    <row r="224" spans="1:13" x14ac:dyDescent="0.35">
      <c r="A224" s="4">
        <v>35</v>
      </c>
      <c r="B224" s="14" t="s">
        <v>151</v>
      </c>
      <c r="C224" s="4" t="e">
        <f t="shared" si="22"/>
        <v>#DIV/0!</v>
      </c>
      <c r="D224" s="4" t="e">
        <f t="shared" si="23"/>
        <v>#DIV/0!</v>
      </c>
      <c r="E224" s="4" t="e">
        <f t="shared" si="24"/>
        <v>#DIV/0!</v>
      </c>
      <c r="F224" s="4" t="e">
        <f t="shared" si="25"/>
        <v>#DIV/0!</v>
      </c>
      <c r="G224" s="4" t="e">
        <f t="shared" si="26"/>
        <v>#DIV/0!</v>
      </c>
      <c r="H224" s="4" t="e">
        <f t="shared" si="27"/>
        <v>#DIV/0!</v>
      </c>
      <c r="I224" s="4" t="e">
        <f t="shared" si="28"/>
        <v>#DIV/0!</v>
      </c>
      <c r="J224" s="4" t="e">
        <f t="shared" si="33"/>
        <v>#DIV/0!</v>
      </c>
      <c r="K224" s="4" t="e">
        <f t="shared" si="34"/>
        <v>#DIV/0!</v>
      </c>
      <c r="L224" s="14" t="e">
        <f t="shared" si="35"/>
        <v>#DIV/0!</v>
      </c>
    </row>
    <row r="225" spans="1:12" x14ac:dyDescent="0.35">
      <c r="A225" s="4">
        <v>36</v>
      </c>
      <c r="B225" s="14" t="s">
        <v>154</v>
      </c>
      <c r="C225" s="4" t="e">
        <f t="shared" si="22"/>
        <v>#DIV/0!</v>
      </c>
      <c r="D225" s="4" t="e">
        <f t="shared" si="23"/>
        <v>#DIV/0!</v>
      </c>
      <c r="E225" s="4" t="e">
        <f t="shared" si="24"/>
        <v>#DIV/0!</v>
      </c>
      <c r="F225" s="4" t="e">
        <f t="shared" si="25"/>
        <v>#DIV/0!</v>
      </c>
      <c r="G225" s="4" t="e">
        <f t="shared" si="26"/>
        <v>#DIV/0!</v>
      </c>
      <c r="H225" s="4" t="e">
        <f t="shared" si="27"/>
        <v>#DIV/0!</v>
      </c>
      <c r="I225" s="4" t="e">
        <f t="shared" si="28"/>
        <v>#DIV/0!</v>
      </c>
      <c r="J225" s="4" t="e">
        <f t="shared" si="33"/>
        <v>#DIV/0!</v>
      </c>
      <c r="K225" s="4" t="e">
        <f t="shared" si="34"/>
        <v>#DIV/0!</v>
      </c>
      <c r="L225" s="14" t="e">
        <f t="shared" si="35"/>
        <v>#DIV/0!</v>
      </c>
    </row>
    <row r="226" spans="1:12" x14ac:dyDescent="0.35">
      <c r="A226" s="4">
        <v>37</v>
      </c>
      <c r="B226" s="14" t="s">
        <v>157</v>
      </c>
      <c r="C226" s="4" t="e">
        <f t="shared" si="22"/>
        <v>#DIV/0!</v>
      </c>
      <c r="D226" s="4" t="e">
        <f t="shared" si="23"/>
        <v>#DIV/0!</v>
      </c>
      <c r="E226" s="4" t="e">
        <f t="shared" si="24"/>
        <v>#DIV/0!</v>
      </c>
      <c r="F226" s="4" t="e">
        <f t="shared" si="25"/>
        <v>#DIV/0!</v>
      </c>
      <c r="G226" s="4" t="e">
        <f t="shared" si="26"/>
        <v>#DIV/0!</v>
      </c>
      <c r="H226" s="4" t="e">
        <f t="shared" si="27"/>
        <v>#DIV/0!</v>
      </c>
      <c r="I226" s="4" t="e">
        <f t="shared" si="28"/>
        <v>#DIV/0!</v>
      </c>
      <c r="J226" s="4" t="e">
        <f t="shared" si="33"/>
        <v>#DIV/0!</v>
      </c>
      <c r="K226" s="4" t="e">
        <f t="shared" si="34"/>
        <v>#DIV/0!</v>
      </c>
      <c r="L226" s="14" t="e">
        <f t="shared" si="35"/>
        <v>#DIV/0!</v>
      </c>
    </row>
    <row r="227" spans="1:12" x14ac:dyDescent="0.35">
      <c r="A227" s="4">
        <v>38</v>
      </c>
      <c r="B227" s="14" t="s">
        <v>160</v>
      </c>
      <c r="C227" s="4" t="e">
        <f t="shared" si="22"/>
        <v>#DIV/0!</v>
      </c>
      <c r="D227" s="4" t="e">
        <f t="shared" si="23"/>
        <v>#DIV/0!</v>
      </c>
      <c r="E227" s="4" t="e">
        <f t="shared" si="24"/>
        <v>#DIV/0!</v>
      </c>
      <c r="F227" s="4" t="e">
        <f t="shared" si="25"/>
        <v>#DIV/0!</v>
      </c>
      <c r="G227" s="4" t="e">
        <f t="shared" si="26"/>
        <v>#DIV/0!</v>
      </c>
      <c r="H227" s="4" t="e">
        <f t="shared" si="27"/>
        <v>#DIV/0!</v>
      </c>
      <c r="I227" s="4" t="e">
        <f t="shared" si="28"/>
        <v>#DIV/0!</v>
      </c>
      <c r="J227" s="4" t="e">
        <f t="shared" si="33"/>
        <v>#DIV/0!</v>
      </c>
      <c r="K227" s="4" t="e">
        <f t="shared" si="34"/>
        <v>#DIV/0!</v>
      </c>
      <c r="L227" s="14" t="e">
        <f t="shared" si="35"/>
        <v>#DIV/0!</v>
      </c>
    </row>
    <row r="228" spans="1:12" x14ac:dyDescent="0.35">
      <c r="A228" s="4">
        <v>39</v>
      </c>
      <c r="B228" s="14" t="s">
        <v>163</v>
      </c>
      <c r="C228" s="4" t="e">
        <f t="shared" si="22"/>
        <v>#DIV/0!</v>
      </c>
      <c r="D228" s="4" t="e">
        <f t="shared" si="23"/>
        <v>#DIV/0!</v>
      </c>
      <c r="E228" s="4" t="e">
        <f t="shared" si="24"/>
        <v>#DIV/0!</v>
      </c>
      <c r="F228" s="4" t="e">
        <f t="shared" si="25"/>
        <v>#DIV/0!</v>
      </c>
      <c r="G228" s="4" t="e">
        <f t="shared" si="26"/>
        <v>#DIV/0!</v>
      </c>
      <c r="H228" s="4" t="e">
        <f t="shared" si="27"/>
        <v>#DIV/0!</v>
      </c>
      <c r="I228" s="4" t="e">
        <f t="shared" si="28"/>
        <v>#DIV/0!</v>
      </c>
      <c r="J228" s="4" t="e">
        <f t="shared" si="33"/>
        <v>#DIV/0!</v>
      </c>
      <c r="K228" s="4" t="e">
        <f t="shared" si="34"/>
        <v>#DIV/0!</v>
      </c>
      <c r="L228" s="14" t="e">
        <f t="shared" si="35"/>
        <v>#DIV/0!</v>
      </c>
    </row>
    <row r="229" spans="1:12" x14ac:dyDescent="0.35">
      <c r="A229" s="4">
        <v>40</v>
      </c>
      <c r="B229" s="14" t="s">
        <v>166</v>
      </c>
      <c r="C229" s="4">
        <f t="shared" si="22"/>
        <v>12.752997464776573</v>
      </c>
      <c r="D229" s="4">
        <f t="shared" si="23"/>
        <v>13.496775445138743</v>
      </c>
      <c r="E229" s="4">
        <f t="shared" si="24"/>
        <v>13.17411760874197</v>
      </c>
      <c r="F229" s="4">
        <f t="shared" si="25"/>
        <v>12.682091860603888</v>
      </c>
      <c r="G229" s="4">
        <f t="shared" si="26"/>
        <v>13.865312262075639</v>
      </c>
      <c r="H229" s="4">
        <f t="shared" si="27"/>
        <v>12.780316042489879</v>
      </c>
      <c r="I229" s="4">
        <f t="shared" si="28"/>
        <v>13.404613345906053</v>
      </c>
      <c r="J229" s="4">
        <f t="shared" si="33"/>
        <v>12.682091860603888</v>
      </c>
      <c r="K229" s="4" t="str">
        <f t="shared" si="34"/>
        <v>C4</v>
      </c>
      <c r="L229" s="14">
        <f t="shared" si="35"/>
        <v>160.83545396079541</v>
      </c>
    </row>
    <row r="230" spans="1:12" x14ac:dyDescent="0.35">
      <c r="A230" s="4">
        <v>41</v>
      </c>
      <c r="B230" s="14" t="s">
        <v>169</v>
      </c>
      <c r="C230" s="4">
        <f t="shared" si="22"/>
        <v>12.963564185193045</v>
      </c>
      <c r="D230" s="4">
        <f t="shared" si="23"/>
        <v>13.515725655437359</v>
      </c>
      <c r="E230" s="4">
        <f t="shared" si="24"/>
        <v>13.167981796187798</v>
      </c>
      <c r="F230" s="4">
        <f t="shared" si="25"/>
        <v>12.758719666527709</v>
      </c>
      <c r="G230" s="4">
        <f t="shared" si="26"/>
        <v>13.925838530920242</v>
      </c>
      <c r="H230" s="4">
        <f t="shared" si="27"/>
        <v>12.853808258007801</v>
      </c>
      <c r="I230" s="4">
        <f t="shared" si="28"/>
        <v>13.42606533138229</v>
      </c>
      <c r="J230" s="4">
        <f t="shared" si="33"/>
        <v>12.758719666527709</v>
      </c>
      <c r="K230" s="4" t="str">
        <f t="shared" si="34"/>
        <v>C4</v>
      </c>
      <c r="L230" s="14">
        <f t="shared" si="35"/>
        <v>162.78492752904091</v>
      </c>
    </row>
    <row r="231" spans="1:12" x14ac:dyDescent="0.35">
      <c r="A231" s="4">
        <v>42</v>
      </c>
      <c r="B231" s="14" t="s">
        <v>172</v>
      </c>
      <c r="C231" s="4">
        <f t="shared" si="22"/>
        <v>11.938649208686241</v>
      </c>
      <c r="D231" s="4">
        <f t="shared" si="23"/>
        <v>12.63100323462932</v>
      </c>
      <c r="E231" s="4">
        <f t="shared" si="24"/>
        <v>12.249972321587054</v>
      </c>
      <c r="F231" s="4">
        <f t="shared" si="25"/>
        <v>11.8174861266129</v>
      </c>
      <c r="G231" s="4">
        <f t="shared" si="26"/>
        <v>12.993370829057509</v>
      </c>
      <c r="H231" s="4">
        <f t="shared" si="27"/>
        <v>11.913287597740911</v>
      </c>
      <c r="I231" s="4">
        <f t="shared" si="28"/>
        <v>12.531770497063492</v>
      </c>
      <c r="J231" s="4">
        <f t="shared" si="33"/>
        <v>11.8174861266129</v>
      </c>
      <c r="K231" s="4" t="str">
        <f t="shared" si="34"/>
        <v>C4</v>
      </c>
      <c r="L231" s="14">
        <f t="shared" si="35"/>
        <v>139.65297835268836</v>
      </c>
    </row>
    <row r="232" spans="1:12" x14ac:dyDescent="0.35">
      <c r="A232" s="4">
        <v>43</v>
      </c>
      <c r="B232" s="14" t="s">
        <v>175</v>
      </c>
      <c r="C232" s="4" t="e">
        <f t="shared" si="22"/>
        <v>#DIV/0!</v>
      </c>
      <c r="D232" s="4" t="e">
        <f t="shared" si="23"/>
        <v>#DIV/0!</v>
      </c>
      <c r="E232" s="4" t="e">
        <f t="shared" si="24"/>
        <v>#DIV/0!</v>
      </c>
      <c r="F232" s="4" t="e">
        <f t="shared" si="25"/>
        <v>#DIV/0!</v>
      </c>
      <c r="G232" s="4" t="e">
        <f t="shared" si="26"/>
        <v>#DIV/0!</v>
      </c>
      <c r="H232" s="4" t="e">
        <f t="shared" si="27"/>
        <v>#DIV/0!</v>
      </c>
      <c r="I232" s="4" t="e">
        <f t="shared" si="28"/>
        <v>#DIV/0!</v>
      </c>
      <c r="J232" s="4" t="e">
        <f t="shared" si="33"/>
        <v>#DIV/0!</v>
      </c>
      <c r="K232" s="4" t="e">
        <f t="shared" si="34"/>
        <v>#DIV/0!</v>
      </c>
      <c r="L232" s="14" t="e">
        <f t="shared" si="35"/>
        <v>#DIV/0!</v>
      </c>
    </row>
    <row r="233" spans="1:12" x14ac:dyDescent="0.35">
      <c r="A233" s="4">
        <v>44</v>
      </c>
      <c r="B233" s="14" t="s">
        <v>178</v>
      </c>
      <c r="C233" s="4" t="e">
        <f t="shared" si="22"/>
        <v>#DIV/0!</v>
      </c>
      <c r="D233" s="4" t="e">
        <f t="shared" si="23"/>
        <v>#DIV/0!</v>
      </c>
      <c r="E233" s="4" t="e">
        <f t="shared" si="24"/>
        <v>#DIV/0!</v>
      </c>
      <c r="F233" s="4" t="e">
        <f t="shared" si="25"/>
        <v>#DIV/0!</v>
      </c>
      <c r="G233" s="4" t="e">
        <f t="shared" si="26"/>
        <v>#DIV/0!</v>
      </c>
      <c r="H233" s="4" t="e">
        <f t="shared" si="27"/>
        <v>#DIV/0!</v>
      </c>
      <c r="I233" s="4" t="e">
        <f t="shared" si="28"/>
        <v>#DIV/0!</v>
      </c>
      <c r="J233" s="4" t="e">
        <f t="shared" si="33"/>
        <v>#DIV/0!</v>
      </c>
      <c r="K233" s="4" t="e">
        <f t="shared" si="34"/>
        <v>#DIV/0!</v>
      </c>
      <c r="L233" s="14" t="e">
        <f t="shared" si="35"/>
        <v>#DIV/0!</v>
      </c>
    </row>
    <row r="234" spans="1:12" x14ac:dyDescent="0.35">
      <c r="A234" s="4">
        <v>45</v>
      </c>
      <c r="B234" s="14" t="s">
        <v>181</v>
      </c>
      <c r="C234" s="4" t="e">
        <f t="shared" si="22"/>
        <v>#DIV/0!</v>
      </c>
      <c r="D234" s="4" t="e">
        <f t="shared" si="23"/>
        <v>#DIV/0!</v>
      </c>
      <c r="E234" s="4" t="e">
        <f t="shared" si="24"/>
        <v>#DIV/0!</v>
      </c>
      <c r="F234" s="4" t="e">
        <f t="shared" si="25"/>
        <v>#DIV/0!</v>
      </c>
      <c r="G234" s="4" t="e">
        <f t="shared" si="26"/>
        <v>#DIV/0!</v>
      </c>
      <c r="H234" s="4" t="e">
        <f t="shared" si="27"/>
        <v>#DIV/0!</v>
      </c>
      <c r="I234" s="4" t="e">
        <f t="shared" si="28"/>
        <v>#DIV/0!</v>
      </c>
      <c r="J234" s="4" t="e">
        <f t="shared" si="33"/>
        <v>#DIV/0!</v>
      </c>
      <c r="K234" s="4" t="e">
        <f t="shared" si="34"/>
        <v>#DIV/0!</v>
      </c>
      <c r="L234" s="14" t="e">
        <f t="shared" si="35"/>
        <v>#DIV/0!</v>
      </c>
    </row>
    <row r="235" spans="1:12" x14ac:dyDescent="0.35">
      <c r="A235" s="4">
        <v>46</v>
      </c>
      <c r="B235" s="14" t="s">
        <v>227</v>
      </c>
      <c r="C235" s="4" t="e">
        <f t="shared" si="22"/>
        <v>#DIV/0!</v>
      </c>
      <c r="D235" s="4" t="e">
        <f t="shared" si="23"/>
        <v>#DIV/0!</v>
      </c>
      <c r="E235" s="4" t="e">
        <f t="shared" si="24"/>
        <v>#DIV/0!</v>
      </c>
      <c r="F235" s="4" t="e">
        <f t="shared" si="25"/>
        <v>#DIV/0!</v>
      </c>
      <c r="G235" s="4" t="e">
        <f t="shared" si="26"/>
        <v>#DIV/0!</v>
      </c>
      <c r="H235" s="4" t="e">
        <f t="shared" si="27"/>
        <v>#DIV/0!</v>
      </c>
      <c r="I235" s="4" t="e">
        <f t="shared" si="28"/>
        <v>#DIV/0!</v>
      </c>
      <c r="J235" s="4" t="e">
        <f t="shared" si="33"/>
        <v>#DIV/0!</v>
      </c>
      <c r="K235" s="4" t="e">
        <f t="shared" si="34"/>
        <v>#DIV/0!</v>
      </c>
      <c r="L235" s="14" t="e">
        <f t="shared" si="35"/>
        <v>#DIV/0!</v>
      </c>
    </row>
    <row r="236" spans="1:12" x14ac:dyDescent="0.35">
      <c r="A236" s="4">
        <v>47</v>
      </c>
      <c r="B236" s="14" t="s">
        <v>224</v>
      </c>
      <c r="C236" s="4" t="e">
        <f t="shared" si="22"/>
        <v>#DIV/0!</v>
      </c>
      <c r="D236" s="4" t="e">
        <f t="shared" si="23"/>
        <v>#DIV/0!</v>
      </c>
      <c r="E236" s="4" t="e">
        <f t="shared" si="24"/>
        <v>#DIV/0!</v>
      </c>
      <c r="F236" s="4" t="e">
        <f t="shared" si="25"/>
        <v>#DIV/0!</v>
      </c>
      <c r="G236" s="4" t="e">
        <f t="shared" si="26"/>
        <v>#DIV/0!</v>
      </c>
      <c r="H236" s="4" t="e">
        <f t="shared" si="27"/>
        <v>#DIV/0!</v>
      </c>
      <c r="I236" s="4" t="e">
        <f t="shared" si="28"/>
        <v>#DIV/0!</v>
      </c>
      <c r="J236" s="4" t="e">
        <f t="shared" si="33"/>
        <v>#DIV/0!</v>
      </c>
      <c r="K236" s="4" t="e">
        <f t="shared" si="34"/>
        <v>#DIV/0!</v>
      </c>
      <c r="L236" s="14" t="e">
        <f t="shared" si="35"/>
        <v>#DIV/0!</v>
      </c>
    </row>
    <row r="237" spans="1:12" x14ac:dyDescent="0.35">
      <c r="A237" s="4">
        <v>48</v>
      </c>
      <c r="B237" s="14" t="s">
        <v>248</v>
      </c>
      <c r="C237" s="4" t="e">
        <f t="shared" si="22"/>
        <v>#DIV/0!</v>
      </c>
      <c r="D237" s="4" t="e">
        <f t="shared" si="23"/>
        <v>#DIV/0!</v>
      </c>
      <c r="E237" s="4" t="e">
        <f t="shared" si="24"/>
        <v>#DIV/0!</v>
      </c>
      <c r="F237" s="4" t="e">
        <f t="shared" si="25"/>
        <v>#DIV/0!</v>
      </c>
      <c r="G237" s="4" t="e">
        <f t="shared" si="26"/>
        <v>#DIV/0!</v>
      </c>
      <c r="H237" s="4" t="e">
        <f t="shared" si="27"/>
        <v>#DIV/0!</v>
      </c>
      <c r="I237" s="4" t="e">
        <f t="shared" si="28"/>
        <v>#DIV/0!</v>
      </c>
      <c r="J237" s="4" t="e">
        <f t="shared" si="33"/>
        <v>#DIV/0!</v>
      </c>
      <c r="K237" s="4" t="e">
        <f t="shared" si="34"/>
        <v>#DIV/0!</v>
      </c>
      <c r="L237" s="14" t="e">
        <f>J237^2</f>
        <v>#DIV/0!</v>
      </c>
    </row>
    <row r="238" spans="1:12" x14ac:dyDescent="0.35">
      <c r="A238" s="4">
        <v>49</v>
      </c>
      <c r="B238" s="14" t="s">
        <v>226</v>
      </c>
      <c r="C238" s="4">
        <f t="shared" si="22"/>
        <v>162.74563157639727</v>
      </c>
      <c r="D238" s="4">
        <f t="shared" si="23"/>
        <v>163.66738599573353</v>
      </c>
      <c r="E238" s="4">
        <f t="shared" si="24"/>
        <v>163.54014337094739</v>
      </c>
      <c r="F238" s="4">
        <f t="shared" si="25"/>
        <v>162.68920700202597</v>
      </c>
      <c r="G238" s="4">
        <f t="shared" si="26"/>
        <v>163.7988958949075</v>
      </c>
      <c r="H238" s="4">
        <f t="shared" si="27"/>
        <v>162.75225194841732</v>
      </c>
      <c r="I238" s="4">
        <f t="shared" si="28"/>
        <v>163.60819146207234</v>
      </c>
      <c r="J238" s="4">
        <f t="shared" si="33"/>
        <v>162.68920700202597</v>
      </c>
      <c r="K238" s="4" t="str">
        <f t="shared" si="34"/>
        <v>C4</v>
      </c>
      <c r="L238" s="14">
        <f t="shared" ref="L238:L239" si="36">J238^2</f>
        <v>26467.778074948055</v>
      </c>
    </row>
    <row r="239" spans="1:12" x14ac:dyDescent="0.35">
      <c r="A239" s="4">
        <v>50</v>
      </c>
      <c r="B239" s="14" t="s">
        <v>225</v>
      </c>
      <c r="C239" s="4">
        <f t="shared" si="22"/>
        <v>139.54445474881967</v>
      </c>
      <c r="D239" s="4">
        <f t="shared" si="23"/>
        <v>140.46013872549887</v>
      </c>
      <c r="E239" s="4">
        <f t="shared" si="24"/>
        <v>140.32585897536325</v>
      </c>
      <c r="F239" s="4">
        <f t="shared" si="25"/>
        <v>139.48538698667295</v>
      </c>
      <c r="G239" s="4">
        <f t="shared" si="26"/>
        <v>140.60053750203028</v>
      </c>
      <c r="H239" s="4">
        <f t="shared" si="27"/>
        <v>139.55217001206086</v>
      </c>
      <c r="I239" s="4">
        <f t="shared" si="28"/>
        <v>140.39819288128965</v>
      </c>
      <c r="J239" s="4">
        <f t="shared" si="33"/>
        <v>139.48538698667295</v>
      </c>
      <c r="K239" s="4" t="str">
        <f t="shared" si="34"/>
        <v>C4</v>
      </c>
      <c r="L239" s="14">
        <f t="shared" si="36"/>
        <v>19456.173182821913</v>
      </c>
    </row>
  </sheetData>
  <mergeCells count="4">
    <mergeCell ref="A111:R111"/>
    <mergeCell ref="A121:M121"/>
    <mergeCell ref="A177:R177"/>
    <mergeCell ref="A188:M18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847D5-773F-487C-AD76-8D678242ECEF}">
  <dimension ref="B2:K105"/>
  <sheetViews>
    <sheetView topLeftCell="C1" zoomScale="31" workbookViewId="0">
      <selection activeCell="K99" sqref="K99"/>
    </sheetView>
  </sheetViews>
  <sheetFormatPr defaultRowHeight="14.5" x14ac:dyDescent="0.35"/>
  <cols>
    <col min="2" max="2" width="9" customWidth="1"/>
    <col min="3" max="3" width="19.90625" customWidth="1"/>
    <col min="4" max="4" width="13.453125" customWidth="1"/>
    <col min="5" max="5" width="14.6328125" customWidth="1"/>
  </cols>
  <sheetData>
    <row r="2" spans="2:4" ht="29" x14ac:dyDescent="0.35">
      <c r="B2" s="22" t="s">
        <v>237</v>
      </c>
      <c r="C2" s="22" t="s">
        <v>238</v>
      </c>
      <c r="D2" s="22" t="s">
        <v>239</v>
      </c>
    </row>
    <row r="3" spans="2:4" x14ac:dyDescent="0.35">
      <c r="B3" s="16">
        <v>1</v>
      </c>
      <c r="C3" s="55">
        <v>0.25</v>
      </c>
      <c r="D3" s="16">
        <v>0.14722222222222223</v>
      </c>
    </row>
    <row r="4" spans="2:4" x14ac:dyDescent="0.35">
      <c r="B4" s="16">
        <v>2</v>
      </c>
      <c r="C4" s="55">
        <v>0.25486111111111109</v>
      </c>
      <c r="D4" s="55">
        <v>0.12986111111111112</v>
      </c>
    </row>
    <row r="5" spans="2:4" x14ac:dyDescent="0.35">
      <c r="B5" s="16">
        <v>3</v>
      </c>
      <c r="C5" s="55">
        <v>0.29444444444444445</v>
      </c>
      <c r="D5" s="55">
        <v>0.14027777777777778</v>
      </c>
    </row>
    <row r="6" spans="2:4" x14ac:dyDescent="0.35">
      <c r="B6" s="16">
        <v>4</v>
      </c>
      <c r="C6" s="55">
        <v>0.25486111111111109</v>
      </c>
      <c r="D6" s="16">
        <v>0.14791666666666667</v>
      </c>
    </row>
    <row r="7" spans="2:4" x14ac:dyDescent="0.35">
      <c r="B7" s="16">
        <v>5</v>
      </c>
      <c r="C7" s="55">
        <v>0.37638888888888888</v>
      </c>
      <c r="D7" s="55">
        <v>0.12708333333333333</v>
      </c>
    </row>
    <row r="8" spans="2:4" x14ac:dyDescent="0.35">
      <c r="B8" s="16">
        <v>6</v>
      </c>
      <c r="C8" s="55">
        <v>0.29444444444444445</v>
      </c>
      <c r="D8" s="55">
        <v>0.1451388888888889</v>
      </c>
    </row>
    <row r="9" spans="2:4" x14ac:dyDescent="0.35">
      <c r="B9" s="16">
        <v>7</v>
      </c>
      <c r="C9" s="55">
        <v>0.37708333333333333</v>
      </c>
      <c r="D9" s="55">
        <v>0.14444444444444443</v>
      </c>
    </row>
    <row r="10" spans="2:4" x14ac:dyDescent="0.35">
      <c r="B10" s="16">
        <v>8</v>
      </c>
      <c r="C10" s="55">
        <v>0.1701388888888889</v>
      </c>
      <c r="D10" s="16">
        <v>0.13333333333333333</v>
      </c>
    </row>
    <row r="11" spans="2:4" x14ac:dyDescent="0.35">
      <c r="B11" s="16">
        <v>9</v>
      </c>
      <c r="C11" s="55">
        <v>0.25277777777777777</v>
      </c>
      <c r="D11" s="16">
        <v>0.14722222222222223</v>
      </c>
    </row>
    <row r="12" spans="2:4" x14ac:dyDescent="0.35">
      <c r="B12" s="16">
        <v>10</v>
      </c>
      <c r="C12" s="55">
        <v>0.33680555555555558</v>
      </c>
      <c r="D12" s="55">
        <v>0.15902777777777777</v>
      </c>
    </row>
    <row r="13" spans="2:4" x14ac:dyDescent="0.35">
      <c r="B13" s="16">
        <v>11</v>
      </c>
      <c r="C13" s="55">
        <v>0.25624999999999998</v>
      </c>
      <c r="D13" s="55">
        <v>0.13055555555555556</v>
      </c>
    </row>
    <row r="14" spans="2:4" x14ac:dyDescent="0.35">
      <c r="B14" s="16">
        <v>12</v>
      </c>
      <c r="C14" s="55">
        <v>0.21388888888888888</v>
      </c>
      <c r="D14" s="16">
        <v>0.14097222222222222</v>
      </c>
    </row>
    <row r="15" spans="2:4" x14ac:dyDescent="0.35">
      <c r="B15" s="16">
        <v>13</v>
      </c>
      <c r="C15" s="55">
        <v>0.25208333333333333</v>
      </c>
      <c r="D15" s="55">
        <v>0.13750000000000001</v>
      </c>
    </row>
    <row r="16" spans="2:4" x14ac:dyDescent="0.35">
      <c r="B16" s="16">
        <v>14</v>
      </c>
      <c r="C16" s="55">
        <v>0.25277777777777777</v>
      </c>
      <c r="D16" s="55">
        <v>0.1388888888888889</v>
      </c>
    </row>
    <row r="17" spans="2:10" x14ac:dyDescent="0.35">
      <c r="B17" s="16">
        <v>15</v>
      </c>
      <c r="C17" s="55">
        <v>0.13125000000000001</v>
      </c>
      <c r="D17" s="55">
        <v>0.1451388888888889</v>
      </c>
    </row>
    <row r="19" spans="2:10" x14ac:dyDescent="0.35">
      <c r="B19" s="100" t="s">
        <v>240</v>
      </c>
      <c r="C19" s="100"/>
      <c r="D19" s="100"/>
    </row>
    <row r="20" spans="2:10" x14ac:dyDescent="0.35">
      <c r="B20" s="16">
        <v>1</v>
      </c>
      <c r="C20" s="55">
        <v>0.25</v>
      </c>
      <c r="D20" s="16">
        <v>0.14722222222222223</v>
      </c>
    </row>
    <row r="21" spans="2:10" x14ac:dyDescent="0.35">
      <c r="B21" s="16">
        <v>2</v>
      </c>
      <c r="C21" s="55">
        <v>0.25486111111111109</v>
      </c>
      <c r="D21" s="55">
        <v>0.12986111111111112</v>
      </c>
    </row>
    <row r="22" spans="2:10" x14ac:dyDescent="0.35">
      <c r="B22" s="16">
        <v>3</v>
      </c>
      <c r="C22" s="55">
        <v>0.29444444444444445</v>
      </c>
      <c r="D22" s="55">
        <v>0.14027777777777778</v>
      </c>
    </row>
    <row r="24" spans="2:10" ht="43.5" x14ac:dyDescent="0.35">
      <c r="B24" s="22" t="s">
        <v>237</v>
      </c>
      <c r="C24" s="22" t="s">
        <v>238</v>
      </c>
      <c r="D24" s="22" t="s">
        <v>239</v>
      </c>
      <c r="E24" s="22" t="s">
        <v>49</v>
      </c>
      <c r="F24" s="22" t="s">
        <v>53</v>
      </c>
      <c r="G24" s="22" t="s">
        <v>58</v>
      </c>
      <c r="H24" s="22" t="s">
        <v>86</v>
      </c>
      <c r="I24" s="22" t="s">
        <v>47</v>
      </c>
      <c r="J24" s="22" t="s">
        <v>104</v>
      </c>
    </row>
    <row r="25" spans="2:10" x14ac:dyDescent="0.35">
      <c r="B25" s="16">
        <v>1</v>
      </c>
      <c r="C25" s="55">
        <v>0.25</v>
      </c>
      <c r="D25" s="16">
        <v>0.14722222222222223</v>
      </c>
      <c r="E25" s="4">
        <f>SQRT(SUMXMY2(C3:D3, $C$20:$D$20))</f>
        <v>0</v>
      </c>
      <c r="F25" s="14">
        <f>SQRT(SUMXMY2(C3:D3, $C$21:$D$21))</f>
        <v>1.8028826369093278E-2</v>
      </c>
      <c r="G25" s="14">
        <f>SQRT(SUMXMY2(C3:D3, $C$22:$D$22))</f>
        <v>4.4983707613060142E-2</v>
      </c>
      <c r="H25" s="4">
        <f>MIN(E25:G25)</f>
        <v>0</v>
      </c>
      <c r="I25" s="4" t="str">
        <f>"C"&amp;MATCH(H25,E25:G25,0)</f>
        <v>C1</v>
      </c>
      <c r="J25" s="14">
        <f>H25^2</f>
        <v>0</v>
      </c>
    </row>
    <row r="26" spans="2:10" x14ac:dyDescent="0.35">
      <c r="B26" s="16">
        <v>2</v>
      </c>
      <c r="C26" s="55">
        <v>0.25486111111111109</v>
      </c>
      <c r="D26" s="55">
        <v>0.12986111111111112</v>
      </c>
      <c r="E26" s="4">
        <f t="shared" ref="E26:E39" si="0">SQRT(SUMXMY2(C4:D4, $C$20:$D$20))</f>
        <v>1.8028826369093278E-2</v>
      </c>
      <c r="F26" s="14">
        <f t="shared" ref="F26:F39" si="1">SQRT(SUMXMY2(C4:D4, $C$21:$D$21))</f>
        <v>0</v>
      </c>
      <c r="G26" s="14">
        <f t="shared" ref="G26:G39" si="2">SQRT(SUMXMY2(C4:D4, $C$22:$D$22))</f>
        <v>4.0931005634142731E-2</v>
      </c>
      <c r="H26" s="4">
        <f t="shared" ref="H26:H39" si="3">MIN(E26:G26)</f>
        <v>0</v>
      </c>
      <c r="I26" s="4" t="str">
        <f t="shared" ref="I26:I39" si="4">"C"&amp;MATCH(H26,E26:G26,0)</f>
        <v>C2</v>
      </c>
      <c r="J26" s="14">
        <f t="shared" ref="J26:J39" si="5">H26^2</f>
        <v>0</v>
      </c>
    </row>
    <row r="27" spans="2:10" x14ac:dyDescent="0.35">
      <c r="B27" s="16">
        <v>3</v>
      </c>
      <c r="C27" s="55">
        <v>0.29444444444444445</v>
      </c>
      <c r="D27" s="55">
        <v>0.14027777777777778</v>
      </c>
      <c r="E27" s="4">
        <f t="shared" si="0"/>
        <v>4.4983707613060142E-2</v>
      </c>
      <c r="F27" s="14">
        <f t="shared" si="1"/>
        <v>4.0931005634142731E-2</v>
      </c>
      <c r="G27" s="14">
        <f t="shared" si="2"/>
        <v>0</v>
      </c>
      <c r="H27" s="4">
        <f t="shared" si="3"/>
        <v>0</v>
      </c>
      <c r="I27" s="4" t="str">
        <f t="shared" si="4"/>
        <v>C3</v>
      </c>
      <c r="J27" s="14">
        <f t="shared" si="5"/>
        <v>0</v>
      </c>
    </row>
    <row r="28" spans="2:10" x14ac:dyDescent="0.35">
      <c r="B28" s="16">
        <v>4</v>
      </c>
      <c r="C28" s="55">
        <v>0.25486111111111109</v>
      </c>
      <c r="D28" s="16">
        <v>0.14791666666666667</v>
      </c>
      <c r="E28" s="4">
        <f t="shared" si="0"/>
        <v>4.9104637582398957E-3</v>
      </c>
      <c r="F28" s="14">
        <f t="shared" si="1"/>
        <v>1.8055555555555547E-2</v>
      </c>
      <c r="G28" s="14">
        <f t="shared" si="2"/>
        <v>4.0313681315833336E-2</v>
      </c>
      <c r="H28" s="4">
        <f t="shared" si="3"/>
        <v>4.9104637582398957E-3</v>
      </c>
      <c r="I28" s="4" t="str">
        <f t="shared" si="4"/>
        <v>C1</v>
      </c>
      <c r="J28" s="14">
        <f t="shared" si="5"/>
        <v>2.411265432098748E-5</v>
      </c>
    </row>
    <row r="29" spans="2:10" x14ac:dyDescent="0.35">
      <c r="B29" s="16">
        <v>5</v>
      </c>
      <c r="C29" s="55">
        <v>0.37638888888888888</v>
      </c>
      <c r="D29" s="55">
        <v>0.12708333333333333</v>
      </c>
      <c r="E29" s="4">
        <f t="shared" si="0"/>
        <v>0.12798330391206078</v>
      </c>
      <c r="F29" s="14">
        <f t="shared" si="1"/>
        <v>0.12155951966418614</v>
      </c>
      <c r="G29" s="14">
        <f t="shared" si="2"/>
        <v>8.2999911683725128E-2</v>
      </c>
      <c r="H29" s="4">
        <f t="shared" si="3"/>
        <v>8.2999911683725128E-2</v>
      </c>
      <c r="I29" s="4" t="str">
        <f t="shared" si="4"/>
        <v>C3</v>
      </c>
      <c r="J29" s="14">
        <f t="shared" si="5"/>
        <v>6.8889853395061708E-3</v>
      </c>
    </row>
    <row r="30" spans="2:10" x14ac:dyDescent="0.35">
      <c r="B30" s="16">
        <v>6</v>
      </c>
      <c r="C30" s="55">
        <v>0.29444444444444445</v>
      </c>
      <c r="D30" s="55">
        <v>0.1451388888888889</v>
      </c>
      <c r="E30" s="4">
        <f t="shared" si="0"/>
        <v>4.4493245776781529E-2</v>
      </c>
      <c r="F30" s="14">
        <f t="shared" si="1"/>
        <v>4.2429362139972601E-2</v>
      </c>
      <c r="G30" s="14">
        <f t="shared" si="2"/>
        <v>4.8611111111111216E-3</v>
      </c>
      <c r="H30" s="4">
        <f t="shared" si="3"/>
        <v>4.8611111111111216E-3</v>
      </c>
      <c r="I30" s="4" t="str">
        <f t="shared" si="4"/>
        <v>C3</v>
      </c>
      <c r="J30" s="14">
        <f t="shared" si="5"/>
        <v>2.3630401234568003E-5</v>
      </c>
    </row>
    <row r="31" spans="2:10" x14ac:dyDescent="0.35">
      <c r="B31" s="16">
        <v>7</v>
      </c>
      <c r="C31" s="55">
        <v>0.37708333333333333</v>
      </c>
      <c r="D31" s="55">
        <v>0.14444444444444443</v>
      </c>
      <c r="E31" s="4">
        <f t="shared" si="0"/>
        <v>0.12711368793522523</v>
      </c>
      <c r="F31" s="14">
        <f t="shared" si="1"/>
        <v>0.12308917586875535</v>
      </c>
      <c r="G31" s="14">
        <f t="shared" si="2"/>
        <v>8.2743864231139413E-2</v>
      </c>
      <c r="H31" s="4">
        <f t="shared" si="3"/>
        <v>8.2743864231139413E-2</v>
      </c>
      <c r="I31" s="4" t="str">
        <f t="shared" si="4"/>
        <v>C3</v>
      </c>
      <c r="J31" s="14">
        <f t="shared" si="5"/>
        <v>6.8465470679012321E-3</v>
      </c>
    </row>
    <row r="32" spans="2:10" x14ac:dyDescent="0.35">
      <c r="B32" s="16">
        <v>8</v>
      </c>
      <c r="C32" s="55">
        <v>0.1701388888888889</v>
      </c>
      <c r="D32" s="16">
        <v>0.13333333333333333</v>
      </c>
      <c r="E32" s="4">
        <f t="shared" si="0"/>
        <v>8.1059843957838551E-2</v>
      </c>
      <c r="F32" s="14">
        <f t="shared" si="1"/>
        <v>8.4793344464244927E-2</v>
      </c>
      <c r="G32" s="14">
        <f t="shared" si="2"/>
        <v>0.12449938333428517</v>
      </c>
      <c r="H32" s="4">
        <f t="shared" si="3"/>
        <v>8.1059843957838551E-2</v>
      </c>
      <c r="I32" s="4" t="str">
        <f t="shared" si="4"/>
        <v>C1</v>
      </c>
      <c r="J32" s="14">
        <f t="shared" si="5"/>
        <v>6.5706983024691346E-3</v>
      </c>
    </row>
    <row r="33" spans="2:11" x14ac:dyDescent="0.35">
      <c r="B33" s="16">
        <v>9</v>
      </c>
      <c r="C33" s="55">
        <v>0.25277777777777777</v>
      </c>
      <c r="D33" s="16">
        <v>0.14722222222222223</v>
      </c>
      <c r="E33" s="4">
        <f t="shared" si="0"/>
        <v>2.7777777777777679E-3</v>
      </c>
      <c r="F33" s="14">
        <f t="shared" si="1"/>
        <v>1.7485664322241898E-2</v>
      </c>
      <c r="G33" s="14">
        <f t="shared" si="2"/>
        <v>4.2241406460404321E-2</v>
      </c>
      <c r="H33" s="4">
        <f t="shared" si="3"/>
        <v>2.7777777777777679E-3</v>
      </c>
      <c r="I33" s="4" t="str">
        <f t="shared" si="4"/>
        <v>C1</v>
      </c>
      <c r="J33" s="14">
        <f t="shared" si="5"/>
        <v>7.7160493827159954E-6</v>
      </c>
    </row>
    <row r="34" spans="2:11" x14ac:dyDescent="0.35">
      <c r="B34" s="16">
        <v>10</v>
      </c>
      <c r="C34" s="55">
        <v>0.33680555555555558</v>
      </c>
      <c r="D34" s="55">
        <v>0.15902777777777777</v>
      </c>
      <c r="E34" s="4">
        <f t="shared" si="0"/>
        <v>8.76046552261006E-2</v>
      </c>
      <c r="F34" s="14">
        <f t="shared" si="1"/>
        <v>8.6980379510284339E-2</v>
      </c>
      <c r="G34" s="14">
        <f t="shared" si="2"/>
        <v>4.6325222444883116E-2</v>
      </c>
      <c r="H34" s="4">
        <f t="shared" si="3"/>
        <v>4.6325222444883116E-2</v>
      </c>
      <c r="I34" s="4" t="str">
        <f t="shared" si="4"/>
        <v>C3</v>
      </c>
      <c r="J34" s="14">
        <f t="shared" si="5"/>
        <v>2.1460262345679025E-3</v>
      </c>
    </row>
    <row r="35" spans="2:11" x14ac:dyDescent="0.35">
      <c r="B35" s="16">
        <v>11</v>
      </c>
      <c r="C35" s="55">
        <v>0.25624999999999998</v>
      </c>
      <c r="D35" s="55">
        <v>0.13055555555555556</v>
      </c>
      <c r="E35" s="4">
        <f t="shared" si="0"/>
        <v>1.7800007802744846E-2</v>
      </c>
      <c r="F35" s="14">
        <f t="shared" si="1"/>
        <v>1.5528249843748485E-3</v>
      </c>
      <c r="G35" s="14">
        <f t="shared" si="2"/>
        <v>3.941239895461867E-2</v>
      </c>
      <c r="H35" s="4">
        <f t="shared" si="3"/>
        <v>1.5528249843748485E-3</v>
      </c>
      <c r="I35" s="4" t="str">
        <f t="shared" si="4"/>
        <v>C2</v>
      </c>
      <c r="J35" s="14">
        <f t="shared" si="5"/>
        <v>2.4112654320987484E-6</v>
      </c>
    </row>
    <row r="36" spans="2:11" x14ac:dyDescent="0.35">
      <c r="B36" s="16">
        <v>12</v>
      </c>
      <c r="C36" s="55">
        <v>0.21388888888888888</v>
      </c>
      <c r="D36" s="16">
        <v>0.14097222222222222</v>
      </c>
      <c r="E36" s="4">
        <f t="shared" si="0"/>
        <v>3.664798556099657E-2</v>
      </c>
      <c r="F36" s="14">
        <f t="shared" si="1"/>
        <v>4.2452088098827563E-2</v>
      </c>
      <c r="G36" s="14">
        <f t="shared" si="2"/>
        <v>8.0558548794964144E-2</v>
      </c>
      <c r="H36" s="4">
        <f t="shared" si="3"/>
        <v>3.664798556099657E-2</v>
      </c>
      <c r="I36" s="4" t="str">
        <f t="shared" si="4"/>
        <v>C1</v>
      </c>
      <c r="J36" s="14">
        <f t="shared" si="5"/>
        <v>1.343074845679013E-3</v>
      </c>
    </row>
    <row r="37" spans="2:11" x14ac:dyDescent="0.35">
      <c r="B37" s="16">
        <v>13</v>
      </c>
      <c r="C37" s="55">
        <v>0.25208333333333333</v>
      </c>
      <c r="D37" s="55">
        <v>0.13750000000000001</v>
      </c>
      <c r="E37" s="4">
        <f t="shared" si="0"/>
        <v>9.9429312939419041E-3</v>
      </c>
      <c r="F37" s="14">
        <f t="shared" si="1"/>
        <v>8.1282638268886254E-3</v>
      </c>
      <c r="G37" s="14">
        <f t="shared" si="2"/>
        <v>4.2452088098827584E-2</v>
      </c>
      <c r="H37" s="4">
        <f t="shared" si="3"/>
        <v>8.1282638268886254E-3</v>
      </c>
      <c r="I37" s="4" t="str">
        <f t="shared" si="4"/>
        <v>C2</v>
      </c>
      <c r="J37" s="14">
        <f t="shared" si="5"/>
        <v>6.6068672839506121E-5</v>
      </c>
    </row>
    <row r="38" spans="2:11" x14ac:dyDescent="0.35">
      <c r="B38" s="16">
        <v>14</v>
      </c>
      <c r="C38" s="55">
        <v>0.25277777777777777</v>
      </c>
      <c r="D38" s="55">
        <v>0.1388888888888889</v>
      </c>
      <c r="E38" s="4">
        <f t="shared" si="0"/>
        <v>8.7841046115788267E-3</v>
      </c>
      <c r="F38" s="14">
        <f t="shared" si="1"/>
        <v>9.2650444889766145E-3</v>
      </c>
      <c r="G38" s="14">
        <f t="shared" si="2"/>
        <v>4.1689808388343449E-2</v>
      </c>
      <c r="H38" s="4">
        <f t="shared" si="3"/>
        <v>8.7841046115788267E-3</v>
      </c>
      <c r="I38" s="4" t="str">
        <f t="shared" si="4"/>
        <v>C1</v>
      </c>
      <c r="J38" s="14">
        <f t="shared" si="5"/>
        <v>7.7160493827160411E-5</v>
      </c>
    </row>
    <row r="39" spans="2:11" x14ac:dyDescent="0.35">
      <c r="B39" s="16">
        <v>15</v>
      </c>
      <c r="C39" s="55">
        <v>0.13125000000000001</v>
      </c>
      <c r="D39" s="55">
        <v>0.1451388888888889</v>
      </c>
      <c r="E39" s="4">
        <f t="shared" si="0"/>
        <v>0.11876827344782688</v>
      </c>
      <c r="F39" s="14">
        <f t="shared" si="1"/>
        <v>0.12455166511914087</v>
      </c>
      <c r="G39" s="14">
        <f t="shared" si="2"/>
        <v>0.16326682791910127</v>
      </c>
      <c r="H39" s="4">
        <f t="shared" si="3"/>
        <v>0.11876827344782688</v>
      </c>
      <c r="I39" s="4" t="str">
        <f t="shared" si="4"/>
        <v>C1</v>
      </c>
      <c r="J39" s="14">
        <f t="shared" si="5"/>
        <v>1.410590277777778E-2</v>
      </c>
    </row>
    <row r="41" spans="2:11" x14ac:dyDescent="0.35">
      <c r="B41" s="100" t="s">
        <v>240</v>
      </c>
      <c r="C41" s="100"/>
      <c r="D41" s="100"/>
    </row>
    <row r="42" spans="2:11" x14ac:dyDescent="0.35">
      <c r="B42" s="16">
        <v>1</v>
      </c>
      <c r="C42" s="55">
        <f>AVERAGEIFS(C$3:C$17,$I$25:$I$39, "C1")</f>
        <v>0.21795634920634921</v>
      </c>
      <c r="D42" s="55">
        <f>AVERAGEIFS(D$3:D$17,$I$25:$I$39, "C1")</f>
        <v>0.14295634920634923</v>
      </c>
    </row>
    <row r="43" spans="2:11" x14ac:dyDescent="0.35">
      <c r="B43" s="16">
        <v>2</v>
      </c>
      <c r="C43" s="55">
        <f>AVERAGEIFS(C$3:C$17,$I$25:$I$39, "C2")</f>
        <v>0.25439814814814815</v>
      </c>
      <c r="D43" s="55">
        <f>AVERAGEIFS(D$3:D$17,$I$25:$I$39, "C2")</f>
        <v>0.13263888888888889</v>
      </c>
    </row>
    <row r="44" spans="2:11" x14ac:dyDescent="0.35">
      <c r="B44" s="16">
        <v>3</v>
      </c>
      <c r="C44" s="55">
        <f>AVERAGEIFS(C$3:C$17,$I$25:$I$39, "C3")</f>
        <v>0.33583333333333337</v>
      </c>
      <c r="D44" s="55">
        <f>AVERAGEIFS(D$3:D$17,$I$25:$I$39, "C3")</f>
        <v>0.14319444444444446</v>
      </c>
    </row>
    <row r="46" spans="2:11" ht="43.5" x14ac:dyDescent="0.35">
      <c r="B46" s="22" t="s">
        <v>237</v>
      </c>
      <c r="C46" s="22" t="s">
        <v>238</v>
      </c>
      <c r="D46" s="22" t="s">
        <v>239</v>
      </c>
      <c r="E46" s="22" t="s">
        <v>49</v>
      </c>
      <c r="F46" s="22" t="s">
        <v>53</v>
      </c>
      <c r="G46" s="22" t="s">
        <v>58</v>
      </c>
      <c r="H46" s="22" t="s">
        <v>86</v>
      </c>
      <c r="I46" s="22" t="s">
        <v>47</v>
      </c>
      <c r="J46" s="22" t="s">
        <v>104</v>
      </c>
    </row>
    <row r="47" spans="2:11" x14ac:dyDescent="0.35">
      <c r="B47" s="16">
        <v>1</v>
      </c>
      <c r="C47" s="55">
        <v>0.25</v>
      </c>
      <c r="D47" s="16">
        <v>0.14722222222222223</v>
      </c>
      <c r="E47" s="4">
        <f>SQRT(SUMXMY2(C25:D25, $C$42:$D$42))</f>
        <v>3.2326355018359093E-2</v>
      </c>
      <c r="F47" s="14">
        <f>SQRT(SUMXMY2(C25:D25, $C$43:$D$43))</f>
        <v>1.5232114700335283E-2</v>
      </c>
      <c r="G47" s="14">
        <f>SQRT(SUMXMY2(C25:D25, $C$44:$D$44))</f>
        <v>8.5927784243155475E-2</v>
      </c>
      <c r="H47" s="4">
        <f>MIN(E47:G47)</f>
        <v>1.5232114700335283E-2</v>
      </c>
      <c r="I47" s="4" t="str">
        <f>"C"&amp;MATCH(H47,E47:G47,0)</f>
        <v>C2</v>
      </c>
      <c r="J47" s="14">
        <f>H47^2</f>
        <v>2.3201731824417022E-4</v>
      </c>
      <c r="K47">
        <f>SUM(J47:J61)</f>
        <v>1.7927630761666803E-2</v>
      </c>
    </row>
    <row r="48" spans="2:11" x14ac:dyDescent="0.35">
      <c r="B48" s="16">
        <v>2</v>
      </c>
      <c r="C48" s="55">
        <v>0.25486111111111109</v>
      </c>
      <c r="D48" s="55">
        <v>0.12986111111111112</v>
      </c>
      <c r="E48" s="4">
        <f t="shared" ref="E48:E61" si="6">SQRT(SUMXMY2(C26:D26, $C$42:$D$42))</f>
        <v>3.9159248103329811E-2</v>
      </c>
      <c r="F48" s="14">
        <f t="shared" ref="F48:F61" si="7">SQRT(SUMXMY2(C26:D26, $C$43:$D$43))</f>
        <v>2.8160937640269407E-3</v>
      </c>
      <c r="G48" s="14">
        <f t="shared" ref="G48:G61" si="8">SQRT(SUMXMY2(C26:D26, $C$44:$D$44))</f>
        <v>8.2062650148424551E-2</v>
      </c>
      <c r="H48" s="4">
        <f t="shared" ref="H48:H61" si="9">MIN(E48:G48)</f>
        <v>2.8160937640269407E-3</v>
      </c>
      <c r="I48" s="4" t="str">
        <f t="shared" ref="I48:I61" si="10">"C"&amp;MATCH(H48,E48:G48,0)</f>
        <v>C2</v>
      </c>
      <c r="J48" s="14">
        <f t="shared" ref="J48:J61" si="11">H48^2</f>
        <v>7.9303840877914217E-6</v>
      </c>
    </row>
    <row r="49" spans="2:10" x14ac:dyDescent="0.35">
      <c r="B49" s="16">
        <v>3</v>
      </c>
      <c r="C49" s="55">
        <v>0.29444444444444445</v>
      </c>
      <c r="D49" s="55">
        <v>0.14027777777777778</v>
      </c>
      <c r="E49" s="4">
        <f t="shared" si="6"/>
        <v>7.6534981923626844E-2</v>
      </c>
      <c r="F49" s="14">
        <f t="shared" si="7"/>
        <v>4.0768351334185014E-2</v>
      </c>
      <c r="G49" s="14">
        <f t="shared" si="8"/>
        <v>4.1491530074236081E-2</v>
      </c>
      <c r="H49" s="4">
        <f t="shared" si="9"/>
        <v>4.0768351334185014E-2</v>
      </c>
      <c r="I49" s="4" t="str">
        <f t="shared" si="10"/>
        <v>C2</v>
      </c>
      <c r="J49" s="14">
        <f t="shared" si="11"/>
        <v>1.6620584705075449E-3</v>
      </c>
    </row>
    <row r="50" spans="2:10" x14ac:dyDescent="0.35">
      <c r="B50" s="16">
        <v>4</v>
      </c>
      <c r="C50" s="55">
        <v>0.25486111111111109</v>
      </c>
      <c r="D50" s="16">
        <v>0.14791666666666667</v>
      </c>
      <c r="E50" s="4">
        <f t="shared" si="6"/>
        <v>3.7236624451664445E-2</v>
      </c>
      <c r="F50" s="14">
        <f t="shared" si="7"/>
        <v>1.5284790758536277E-2</v>
      </c>
      <c r="G50" s="14">
        <f t="shared" si="8"/>
        <v>8.1109803071644782E-2</v>
      </c>
      <c r="H50" s="4">
        <f t="shared" si="9"/>
        <v>1.5284790758536277E-2</v>
      </c>
      <c r="I50" s="4" t="str">
        <f t="shared" si="10"/>
        <v>C2</v>
      </c>
      <c r="J50" s="14">
        <f t="shared" si="11"/>
        <v>2.3362482853223597E-4</v>
      </c>
    </row>
    <row r="51" spans="2:10" x14ac:dyDescent="0.35">
      <c r="B51" s="16">
        <v>5</v>
      </c>
      <c r="C51" s="55">
        <v>0.37638888888888888</v>
      </c>
      <c r="D51" s="55">
        <v>0.12708333333333333</v>
      </c>
      <c r="E51" s="4">
        <f t="shared" si="6"/>
        <v>0.15922569598894684</v>
      </c>
      <c r="F51" s="14">
        <f t="shared" si="7"/>
        <v>0.12211717743219208</v>
      </c>
      <c r="G51" s="14">
        <f t="shared" si="8"/>
        <v>4.3638526414789928E-2</v>
      </c>
      <c r="H51" s="4">
        <f t="shared" si="9"/>
        <v>4.3638526414789928E-2</v>
      </c>
      <c r="I51" s="4" t="str">
        <f t="shared" si="10"/>
        <v>C3</v>
      </c>
      <c r="J51" s="14">
        <f t="shared" si="11"/>
        <v>1.9043209876543183E-3</v>
      </c>
    </row>
    <row r="52" spans="2:10" x14ac:dyDescent="0.35">
      <c r="B52" s="16">
        <v>6</v>
      </c>
      <c r="C52" s="55">
        <v>0.29444444444444445</v>
      </c>
      <c r="D52" s="55">
        <v>0.1451388888888889</v>
      </c>
      <c r="E52" s="4">
        <f t="shared" si="6"/>
        <v>7.6519227600765738E-2</v>
      </c>
      <c r="F52" s="14">
        <f t="shared" si="7"/>
        <v>4.1951827696189298E-2</v>
      </c>
      <c r="G52" s="14">
        <f t="shared" si="8"/>
        <v>4.143453858382308E-2</v>
      </c>
      <c r="H52" s="4">
        <f t="shared" si="9"/>
        <v>4.143453858382308E-2</v>
      </c>
      <c r="I52" s="4" t="str">
        <f t="shared" si="10"/>
        <v>C3</v>
      </c>
      <c r="J52" s="14">
        <f t="shared" si="11"/>
        <v>1.7168209876543235E-3</v>
      </c>
    </row>
    <row r="53" spans="2:10" x14ac:dyDescent="0.35">
      <c r="B53" s="16">
        <v>7</v>
      </c>
      <c r="C53" s="55">
        <v>0.37708333333333333</v>
      </c>
      <c r="D53" s="55">
        <v>0.14444444444444443</v>
      </c>
      <c r="E53" s="4">
        <f t="shared" si="6"/>
        <v>0.15913394202616579</v>
      </c>
      <c r="F53" s="14">
        <f t="shared" si="7"/>
        <v>0.12325187952278248</v>
      </c>
      <c r="G53" s="14">
        <f t="shared" si="8"/>
        <v>4.1268935048047892E-2</v>
      </c>
      <c r="H53" s="4">
        <f t="shared" si="9"/>
        <v>4.1268935048047892E-2</v>
      </c>
      <c r="I53" s="4" t="str">
        <f t="shared" si="10"/>
        <v>C3</v>
      </c>
      <c r="J53" s="14">
        <f t="shared" si="11"/>
        <v>1.7031249999999957E-3</v>
      </c>
    </row>
    <row r="54" spans="2:10" x14ac:dyDescent="0.35">
      <c r="B54" s="16">
        <v>8</v>
      </c>
      <c r="C54" s="55">
        <v>0.1701388888888889</v>
      </c>
      <c r="D54" s="16">
        <v>0.13333333333333333</v>
      </c>
      <c r="E54" s="4">
        <f t="shared" si="6"/>
        <v>4.8776141152249916E-2</v>
      </c>
      <c r="F54" s="14">
        <f t="shared" si="7"/>
        <v>8.4262120932275891E-2</v>
      </c>
      <c r="G54" s="14">
        <f t="shared" si="8"/>
        <v>0.16598762132188888</v>
      </c>
      <c r="H54" s="4">
        <f t="shared" si="9"/>
        <v>4.8776141152249916E-2</v>
      </c>
      <c r="I54" s="4" t="str">
        <f t="shared" si="10"/>
        <v>C1</v>
      </c>
      <c r="J54" s="14">
        <f t="shared" si="11"/>
        <v>2.3791119457042078E-3</v>
      </c>
    </row>
    <row r="55" spans="2:10" x14ac:dyDescent="0.35">
      <c r="B55" s="16">
        <v>9</v>
      </c>
      <c r="C55" s="55">
        <v>0.25277777777777777</v>
      </c>
      <c r="D55" s="16">
        <v>0.14722222222222223</v>
      </c>
      <c r="E55" s="4">
        <f t="shared" si="6"/>
        <v>3.5081755377156576E-2</v>
      </c>
      <c r="F55" s="14">
        <f t="shared" si="7"/>
        <v>1.4673077770130077E-2</v>
      </c>
      <c r="G55" s="14">
        <f t="shared" si="8"/>
        <v>8.3153161710599693E-2</v>
      </c>
      <c r="H55" s="4">
        <f t="shared" si="9"/>
        <v>1.4673077770130077E-2</v>
      </c>
      <c r="I55" s="4" t="str">
        <f t="shared" si="10"/>
        <v>C2</v>
      </c>
      <c r="J55" s="14">
        <f t="shared" si="11"/>
        <v>2.1529921124828545E-4</v>
      </c>
    </row>
    <row r="56" spans="2:10" x14ac:dyDescent="0.35">
      <c r="B56" s="16">
        <v>10</v>
      </c>
      <c r="C56" s="55">
        <v>0.33680555555555558</v>
      </c>
      <c r="D56" s="55">
        <v>0.15902777777777777</v>
      </c>
      <c r="E56" s="4">
        <f t="shared" si="6"/>
        <v>0.11993091622331069</v>
      </c>
      <c r="F56" s="14">
        <f t="shared" si="7"/>
        <v>8.6529499319021555E-2</v>
      </c>
      <c r="G56" s="14">
        <f t="shared" si="8"/>
        <v>1.5863154178593436E-2</v>
      </c>
      <c r="H56" s="4">
        <f t="shared" si="9"/>
        <v>1.5863154178593436E-2</v>
      </c>
      <c r="I56" s="4" t="str">
        <f t="shared" si="10"/>
        <v>C3</v>
      </c>
      <c r="J56" s="14">
        <f t="shared" si="11"/>
        <v>2.5163966049382641E-4</v>
      </c>
    </row>
    <row r="57" spans="2:10" x14ac:dyDescent="0.35">
      <c r="B57" s="16">
        <v>11</v>
      </c>
      <c r="C57" s="55">
        <v>0.25624999999999998</v>
      </c>
      <c r="D57" s="55">
        <v>0.13055555555555556</v>
      </c>
      <c r="E57" s="4">
        <f t="shared" si="6"/>
        <v>4.0251501515789878E-2</v>
      </c>
      <c r="F57" s="14">
        <f t="shared" si="7"/>
        <v>2.7874061524981943E-3</v>
      </c>
      <c r="G57" s="14">
        <f t="shared" si="8"/>
        <v>8.0580695310912609E-2</v>
      </c>
      <c r="H57" s="4">
        <f t="shared" si="9"/>
        <v>2.7874061524981943E-3</v>
      </c>
      <c r="I57" s="4" t="str">
        <f t="shared" si="10"/>
        <v>C2</v>
      </c>
      <c r="J57" s="14">
        <f t="shared" si="11"/>
        <v>7.7696330589847872E-6</v>
      </c>
    </row>
    <row r="58" spans="2:10" x14ac:dyDescent="0.35">
      <c r="B58" s="16">
        <v>12</v>
      </c>
      <c r="C58" s="55">
        <v>0.21388888888888888</v>
      </c>
      <c r="D58" s="16">
        <v>0.14097222222222222</v>
      </c>
      <c r="E58" s="4">
        <f t="shared" si="6"/>
        <v>4.5255931460147208E-3</v>
      </c>
      <c r="F58" s="14">
        <f t="shared" si="7"/>
        <v>4.135752084178073E-2</v>
      </c>
      <c r="G58" s="14">
        <f t="shared" si="8"/>
        <v>0.12196469080217089</v>
      </c>
      <c r="H58" s="4">
        <f t="shared" si="9"/>
        <v>4.5255931460147208E-3</v>
      </c>
      <c r="I58" s="4" t="str">
        <f t="shared" si="10"/>
        <v>C1</v>
      </c>
      <c r="J58" s="14">
        <f t="shared" si="11"/>
        <v>2.0480993323255417E-5</v>
      </c>
    </row>
    <row r="59" spans="2:10" x14ac:dyDescent="0.35">
      <c r="B59" s="16">
        <v>13</v>
      </c>
      <c r="C59" s="55">
        <v>0.25208333333333333</v>
      </c>
      <c r="D59" s="55">
        <v>0.13750000000000001</v>
      </c>
      <c r="E59" s="4">
        <f t="shared" si="6"/>
        <v>3.4560422339217058E-2</v>
      </c>
      <c r="F59" s="14">
        <f t="shared" si="7"/>
        <v>5.3841219211171465E-3</v>
      </c>
      <c r="G59" s="14">
        <f t="shared" si="8"/>
        <v>8.394336899083138E-2</v>
      </c>
      <c r="H59" s="4">
        <f t="shared" si="9"/>
        <v>5.3841219211171465E-3</v>
      </c>
      <c r="I59" s="4" t="str">
        <f t="shared" si="10"/>
        <v>C2</v>
      </c>
      <c r="J59" s="14">
        <f t="shared" si="11"/>
        <v>2.8988768861454193E-5</v>
      </c>
    </row>
    <row r="60" spans="2:10" x14ac:dyDescent="0.35">
      <c r="B60" s="16">
        <v>14</v>
      </c>
      <c r="C60" s="55">
        <v>0.25277777777777777</v>
      </c>
      <c r="D60" s="55">
        <v>0.1388888888888889</v>
      </c>
      <c r="E60" s="4">
        <f t="shared" si="6"/>
        <v>3.5058181943580811E-2</v>
      </c>
      <c r="F60" s="14">
        <f t="shared" si="7"/>
        <v>6.4566322597135982E-3</v>
      </c>
      <c r="G60" s="14">
        <f t="shared" si="8"/>
        <v>8.3167079528404506E-2</v>
      </c>
      <c r="H60" s="4">
        <f t="shared" si="9"/>
        <v>6.4566322597135982E-3</v>
      </c>
      <c r="I60" s="4" t="str">
        <f t="shared" si="10"/>
        <v>C2</v>
      </c>
      <c r="J60" s="14">
        <f t="shared" si="11"/>
        <v>4.1688100137174328E-5</v>
      </c>
    </row>
    <row r="61" spans="2:10" x14ac:dyDescent="0.35">
      <c r="B61" s="16">
        <v>15</v>
      </c>
      <c r="C61" s="55">
        <v>0.13125000000000001</v>
      </c>
      <c r="D61" s="55">
        <v>0.1451388888888889</v>
      </c>
      <c r="E61" s="4">
        <f t="shared" si="6"/>
        <v>8.6733813891464701E-2</v>
      </c>
      <c r="F61" s="14">
        <f t="shared" si="7"/>
        <v>0.12378092095439525</v>
      </c>
      <c r="G61" s="14">
        <f t="shared" si="8"/>
        <v>0.20459257352595991</v>
      </c>
      <c r="H61" s="4">
        <f t="shared" si="9"/>
        <v>8.6733813891464701E-2</v>
      </c>
      <c r="I61" s="4" t="str">
        <f t="shared" si="10"/>
        <v>C1</v>
      </c>
      <c r="J61" s="14">
        <f t="shared" si="11"/>
        <v>7.5227544721592349E-3</v>
      </c>
    </row>
    <row r="63" spans="2:10" x14ac:dyDescent="0.35">
      <c r="B63" s="100" t="s">
        <v>240</v>
      </c>
      <c r="C63" s="100"/>
      <c r="D63" s="100"/>
    </row>
    <row r="64" spans="2:10" x14ac:dyDescent="0.35">
      <c r="B64" s="16">
        <v>1</v>
      </c>
      <c r="C64" s="55">
        <f>AVERAGEIFS(C$3:C$17,$I$47:$I$61, "C1")</f>
        <v>0.17175925925925925</v>
      </c>
      <c r="D64" s="55">
        <f>AVERAGEIFS(D$3:D$17,$I$47:$I$61, "C1")</f>
        <v>0.13981481481481484</v>
      </c>
    </row>
    <row r="65" spans="2:11" x14ac:dyDescent="0.35">
      <c r="B65" s="16">
        <v>2</v>
      </c>
      <c r="C65" s="55">
        <f>AVERAGEIFS(C$3:C$17,$I$47:$I$61, "C2")</f>
        <v>0.25850694444444444</v>
      </c>
      <c r="D65" s="55">
        <f>AVERAGEIFS(D$3:D$17,$I$47:$I$61, "C2")</f>
        <v>0.13993055555555556</v>
      </c>
    </row>
    <row r="66" spans="2:11" x14ac:dyDescent="0.35">
      <c r="B66" s="16">
        <v>3</v>
      </c>
      <c r="C66" s="55">
        <f>AVERAGEIFS(C$3:C$17,$I$47:$I$61, "C3")</f>
        <v>0.34618055555555555</v>
      </c>
      <c r="D66" s="55">
        <f>AVERAGEIFS(D$3:D$17,$I$47:$I$61, "C3")</f>
        <v>0.14392361111111113</v>
      </c>
    </row>
    <row r="68" spans="2:11" ht="43.5" x14ac:dyDescent="0.35">
      <c r="B68" s="22" t="s">
        <v>237</v>
      </c>
      <c r="C68" s="22" t="s">
        <v>238</v>
      </c>
      <c r="D68" s="22" t="s">
        <v>239</v>
      </c>
      <c r="E68" s="22" t="s">
        <v>49</v>
      </c>
      <c r="F68" s="22" t="s">
        <v>53</v>
      </c>
      <c r="G68" s="22" t="s">
        <v>58</v>
      </c>
      <c r="H68" s="22" t="s">
        <v>86</v>
      </c>
      <c r="I68" s="22" t="s">
        <v>47</v>
      </c>
      <c r="J68" s="22" t="s">
        <v>104</v>
      </c>
    </row>
    <row r="69" spans="2:11" x14ac:dyDescent="0.35">
      <c r="B69" s="16">
        <v>1</v>
      </c>
      <c r="C69" s="55">
        <v>0.25</v>
      </c>
      <c r="D69" s="16">
        <v>0.14722222222222223</v>
      </c>
      <c r="E69" s="4">
        <f>SQRT(SUMXMY2(C47:D47, $C$64:$D$64))</f>
        <v>7.8590605012044054E-2</v>
      </c>
      <c r="F69" s="14">
        <f>SQRT(SUMXMY2(C47:D47, $C$65:$D$65))</f>
        <v>1.1204307500182328E-2</v>
      </c>
      <c r="G69" s="14">
        <f>SQRT(SUMXMY2(C47:D47, $C$66:$D$66))</f>
        <v>9.6237103563218546E-2</v>
      </c>
      <c r="H69" s="4">
        <f>MIN(E69:G69)</f>
        <v>1.1204307500182328E-2</v>
      </c>
      <c r="I69" s="4" t="str">
        <f>"C"&amp;MATCH(H69,E69:G69,0)</f>
        <v>C2</v>
      </c>
      <c r="J69" s="14">
        <f>H69^2</f>
        <v>1.2553650655864197E-4</v>
      </c>
      <c r="K69">
        <f>SUM(J69:J83)</f>
        <v>9.1452465920781895E-3</v>
      </c>
    </row>
    <row r="70" spans="2:11" x14ac:dyDescent="0.35">
      <c r="B70" s="16">
        <v>2</v>
      </c>
      <c r="C70" s="55">
        <v>0.25486111111111109</v>
      </c>
      <c r="D70" s="55">
        <v>0.12986111111111112</v>
      </c>
      <c r="E70" s="4">
        <f t="shared" ref="E70:E83" si="12">SQRT(SUMXMY2(C48:D48, $C$64:$D$64))</f>
        <v>8.3695842182442109E-2</v>
      </c>
      <c r="F70" s="14">
        <f t="shared" ref="F70:F83" si="13">SQRT(SUMXMY2(C48:D48, $C$65:$D$65))</f>
        <v>1.0709146189785509E-2</v>
      </c>
      <c r="G70" s="14">
        <f t="shared" ref="G70:G83" si="14">SQRT(SUMXMY2(C48:D48, $C$66:$D$66))</f>
        <v>9.2395859430452712E-2</v>
      </c>
      <c r="H70" s="4">
        <f t="shared" ref="H70:H83" si="15">MIN(E70:G70)</f>
        <v>1.0709146189785509E-2</v>
      </c>
      <c r="I70" s="4" t="str">
        <f t="shared" ref="I70:I83" si="16">"C"&amp;MATCH(H70,E70:G70,0)</f>
        <v>C2</v>
      </c>
      <c r="J70" s="14">
        <f t="shared" ref="J70:J83" si="17">H70^2</f>
        <v>1.146858121141975E-4</v>
      </c>
    </row>
    <row r="71" spans="2:11" x14ac:dyDescent="0.35">
      <c r="B71" s="16">
        <v>3</v>
      </c>
      <c r="C71" s="55">
        <v>0.29444444444444445</v>
      </c>
      <c r="D71" s="55">
        <v>0.14027777777777778</v>
      </c>
      <c r="E71" s="4">
        <f t="shared" si="12"/>
        <v>0.12268605869709999</v>
      </c>
      <c r="F71" s="14">
        <f t="shared" si="13"/>
        <v>3.5939177362894738E-2</v>
      </c>
      <c r="G71" s="14">
        <f t="shared" si="14"/>
        <v>5.1864412592795048E-2</v>
      </c>
      <c r="H71" s="4">
        <f t="shared" si="15"/>
        <v>3.5939177362894738E-2</v>
      </c>
      <c r="I71" s="4" t="str">
        <f t="shared" si="16"/>
        <v>C2</v>
      </c>
      <c r="J71" s="14">
        <f t="shared" si="17"/>
        <v>1.2916244695216055E-3</v>
      </c>
    </row>
    <row r="72" spans="2:11" x14ac:dyDescent="0.35">
      <c r="B72" s="16">
        <v>4</v>
      </c>
      <c r="C72" s="55">
        <v>0.25486111111111109</v>
      </c>
      <c r="D72" s="16">
        <v>0.14791666666666667</v>
      </c>
      <c r="E72" s="4">
        <f t="shared" si="12"/>
        <v>8.3495854894937674E-2</v>
      </c>
      <c r="F72" s="14">
        <f t="shared" si="13"/>
        <v>8.7789561665073193E-3</v>
      </c>
      <c r="G72" s="14">
        <f t="shared" si="14"/>
        <v>9.1406703399213182E-2</v>
      </c>
      <c r="H72" s="4">
        <f t="shared" si="15"/>
        <v>8.7789561665073193E-3</v>
      </c>
      <c r="I72" s="4" t="str">
        <f t="shared" si="16"/>
        <v>C2</v>
      </c>
      <c r="J72" s="14">
        <f t="shared" si="17"/>
        <v>7.7070071373456887E-5</v>
      </c>
    </row>
    <row r="73" spans="2:11" x14ac:dyDescent="0.35">
      <c r="B73" s="16">
        <v>5</v>
      </c>
      <c r="C73" s="55">
        <v>0.37638888888888888</v>
      </c>
      <c r="D73" s="55">
        <v>0.12708333333333333</v>
      </c>
      <c r="E73" s="4">
        <f t="shared" si="12"/>
        <v>0.20502530561633778</v>
      </c>
      <c r="F73" s="14">
        <f t="shared" si="13"/>
        <v>0.11857994748198469</v>
      </c>
      <c r="G73" s="14">
        <f t="shared" si="14"/>
        <v>3.458523324210052E-2</v>
      </c>
      <c r="H73" s="4">
        <f t="shared" si="15"/>
        <v>3.458523324210052E-2</v>
      </c>
      <c r="I73" s="4" t="str">
        <f t="shared" si="16"/>
        <v>C3</v>
      </c>
      <c r="J73" s="14">
        <f t="shared" si="17"/>
        <v>1.1961383584104949E-3</v>
      </c>
    </row>
    <row r="74" spans="2:11" x14ac:dyDescent="0.35">
      <c r="B74" s="16">
        <v>6</v>
      </c>
      <c r="C74" s="55">
        <v>0.29444444444444445</v>
      </c>
      <c r="D74" s="55">
        <v>0.1451388888888889</v>
      </c>
      <c r="E74" s="4">
        <f t="shared" si="12"/>
        <v>0.12280065320945738</v>
      </c>
      <c r="F74" s="14">
        <f t="shared" si="13"/>
        <v>3.6312954194902845E-2</v>
      </c>
      <c r="G74" s="14">
        <f t="shared" si="14"/>
        <v>5.1750382539440164E-2</v>
      </c>
      <c r="H74" s="4">
        <f t="shared" si="15"/>
        <v>3.6312954194902845E-2</v>
      </c>
      <c r="I74" s="4" t="str">
        <f>"C"&amp;MATCH(H74,E74:G74,0)</f>
        <v>C2</v>
      </c>
      <c r="J74" s="14">
        <f t="shared" si="17"/>
        <v>1.3186306423611121E-3</v>
      </c>
    </row>
    <row r="75" spans="2:11" x14ac:dyDescent="0.35">
      <c r="B75" s="16">
        <v>7</v>
      </c>
      <c r="C75" s="55">
        <v>0.37708333333333333</v>
      </c>
      <c r="D75" s="55">
        <v>0.14444444444444443</v>
      </c>
      <c r="E75" s="4">
        <f t="shared" si="12"/>
        <v>0.20537626168786743</v>
      </c>
      <c r="F75" s="14">
        <f t="shared" si="13"/>
        <v>0.11866227367967566</v>
      </c>
      <c r="G75" s="14">
        <f t="shared" si="14"/>
        <v>3.0907166511083269E-2</v>
      </c>
      <c r="H75" s="4">
        <f t="shared" si="15"/>
        <v>3.0907166511083269E-2</v>
      </c>
      <c r="I75" s="4" t="str">
        <f t="shared" si="16"/>
        <v>C3</v>
      </c>
      <c r="J75" s="14">
        <f t="shared" si="17"/>
        <v>9.5525294174382709E-4</v>
      </c>
    </row>
    <row r="76" spans="2:11" x14ac:dyDescent="0.35">
      <c r="B76" s="16">
        <v>8</v>
      </c>
      <c r="C76" s="55">
        <v>0.1701388888888889</v>
      </c>
      <c r="D76" s="16">
        <v>0.13333333333333333</v>
      </c>
      <c r="E76" s="4">
        <f t="shared" si="12"/>
        <v>6.6809581896582646E-3</v>
      </c>
      <c r="F76" s="14">
        <f t="shared" si="13"/>
        <v>8.8613975103925532E-2</v>
      </c>
      <c r="G76" s="14">
        <f t="shared" si="14"/>
        <v>0.17635992284583329</v>
      </c>
      <c r="H76" s="4">
        <f t="shared" si="15"/>
        <v>6.6809581896582646E-3</v>
      </c>
      <c r="I76" s="4" t="str">
        <f t="shared" si="16"/>
        <v>C1</v>
      </c>
      <c r="J76" s="14">
        <f t="shared" si="17"/>
        <v>4.4635202331961836E-5</v>
      </c>
    </row>
    <row r="77" spans="2:11" x14ac:dyDescent="0.35">
      <c r="B77" s="16">
        <v>9</v>
      </c>
      <c r="C77" s="55">
        <v>0.25277777777777777</v>
      </c>
      <c r="D77" s="16">
        <v>0.14722222222222223</v>
      </c>
      <c r="E77" s="4">
        <f t="shared" si="12"/>
        <v>8.1356438143731696E-2</v>
      </c>
      <c r="F77" s="14">
        <f t="shared" si="13"/>
        <v>9.2731738618567015E-3</v>
      </c>
      <c r="G77" s="14">
        <f t="shared" si="14"/>
        <v>9.3461006477927919E-2</v>
      </c>
      <c r="H77" s="4">
        <f t="shared" si="15"/>
        <v>9.2731738618567015E-3</v>
      </c>
      <c r="I77" s="4" t="str">
        <f t="shared" si="16"/>
        <v>C2</v>
      </c>
      <c r="J77" s="14">
        <f t="shared" si="17"/>
        <v>8.5991753472222329E-5</v>
      </c>
    </row>
    <row r="78" spans="2:11" x14ac:dyDescent="0.35">
      <c r="B78" s="16">
        <v>10</v>
      </c>
      <c r="C78" s="55">
        <v>0.33680555555555558</v>
      </c>
      <c r="D78" s="55">
        <v>0.15902777777777777</v>
      </c>
      <c r="E78" s="4">
        <f t="shared" si="12"/>
        <v>0.16616081928944929</v>
      </c>
      <c r="F78" s="14">
        <f t="shared" si="13"/>
        <v>8.0593898022951804E-2</v>
      </c>
      <c r="G78" s="14">
        <f t="shared" si="14"/>
        <v>1.7777133506120806E-2</v>
      </c>
      <c r="H78" s="4">
        <f t="shared" si="15"/>
        <v>1.7777133506120806E-2</v>
      </c>
      <c r="I78" s="4" t="str">
        <f t="shared" si="16"/>
        <v>C3</v>
      </c>
      <c r="J78" s="14">
        <f t="shared" si="17"/>
        <v>3.16026475694443E-4</v>
      </c>
    </row>
    <row r="79" spans="2:11" x14ac:dyDescent="0.35">
      <c r="B79" s="16">
        <v>11</v>
      </c>
      <c r="C79" s="55">
        <v>0.25624999999999998</v>
      </c>
      <c r="D79" s="55">
        <v>0.13055555555555556</v>
      </c>
      <c r="E79" s="4">
        <f t="shared" si="12"/>
        <v>8.4996583183968299E-2</v>
      </c>
      <c r="F79" s="14">
        <f t="shared" si="13"/>
        <v>9.642843109026954E-3</v>
      </c>
      <c r="G79" s="14">
        <f t="shared" si="14"/>
        <v>9.0918698472136558E-2</v>
      </c>
      <c r="H79" s="4">
        <f t="shared" si="15"/>
        <v>9.642843109026954E-3</v>
      </c>
      <c r="I79" s="4" t="str">
        <f t="shared" si="16"/>
        <v>C2</v>
      </c>
      <c r="J79" s="14">
        <f t="shared" si="17"/>
        <v>9.2984423225308616E-5</v>
      </c>
    </row>
    <row r="80" spans="2:11" x14ac:dyDescent="0.35">
      <c r="B80" s="16">
        <v>12</v>
      </c>
      <c r="C80" s="55">
        <v>0.21388888888888888</v>
      </c>
      <c r="D80" s="16">
        <v>0.14097222222222222</v>
      </c>
      <c r="E80" s="4">
        <f t="shared" si="12"/>
        <v>4.2145525084360834E-2</v>
      </c>
      <c r="F80" s="14">
        <f t="shared" si="13"/>
        <v>4.4630213432192853E-2</v>
      </c>
      <c r="G80" s="14">
        <f t="shared" si="14"/>
        <v>0.13232458488813748</v>
      </c>
      <c r="H80" s="4">
        <f t="shared" si="15"/>
        <v>4.2145525084360834E-2</v>
      </c>
      <c r="I80" s="4" t="str">
        <f t="shared" si="16"/>
        <v>C1</v>
      </c>
      <c r="J80" s="14">
        <f t="shared" si="17"/>
        <v>1.7762452846364883E-3</v>
      </c>
    </row>
    <row r="81" spans="2:11" x14ac:dyDescent="0.35">
      <c r="B81" s="16">
        <v>13</v>
      </c>
      <c r="C81" s="55">
        <v>0.25208333333333333</v>
      </c>
      <c r="D81" s="55">
        <v>0.13750000000000001</v>
      </c>
      <c r="E81" s="4">
        <f t="shared" si="12"/>
        <v>8.0357421831989018E-2</v>
      </c>
      <c r="F81" s="14">
        <f t="shared" si="13"/>
        <v>6.8680695989071132E-3</v>
      </c>
      <c r="G81" s="14">
        <f t="shared" si="14"/>
        <v>9.4316223470011049E-2</v>
      </c>
      <c r="H81" s="4">
        <f t="shared" si="15"/>
        <v>6.8680695989071132E-3</v>
      </c>
      <c r="I81" s="4" t="str">
        <f t="shared" si="16"/>
        <v>C2</v>
      </c>
      <c r="J81" s="14">
        <f t="shared" si="17"/>
        <v>4.7170380015432117E-5</v>
      </c>
    </row>
    <row r="82" spans="2:11" x14ac:dyDescent="0.35">
      <c r="B82" s="16">
        <v>14</v>
      </c>
      <c r="C82" s="55">
        <v>0.25277777777777777</v>
      </c>
      <c r="D82" s="55">
        <v>0.1388888888888889</v>
      </c>
      <c r="E82" s="4">
        <f t="shared" si="12"/>
        <v>8.1023809351053286E-2</v>
      </c>
      <c r="F82" s="14">
        <f t="shared" si="13"/>
        <v>5.8230936914057093E-3</v>
      </c>
      <c r="G82" s="14">
        <f t="shared" si="14"/>
        <v>9.3538373539739705E-2</v>
      </c>
      <c r="H82" s="4">
        <f t="shared" si="15"/>
        <v>5.8230936914057093E-3</v>
      </c>
      <c r="I82" s="4" t="str">
        <f t="shared" si="16"/>
        <v>C2</v>
      </c>
      <c r="J82" s="14">
        <f t="shared" si="17"/>
        <v>3.3908420138888972E-5</v>
      </c>
    </row>
    <row r="83" spans="2:11" x14ac:dyDescent="0.35">
      <c r="B83" s="16">
        <v>15</v>
      </c>
      <c r="C83" s="55">
        <v>0.13125000000000001</v>
      </c>
      <c r="D83" s="55">
        <v>0.1451388888888889</v>
      </c>
      <c r="E83" s="4">
        <f t="shared" si="12"/>
        <v>4.0857629036449343E-2</v>
      </c>
      <c r="F83" s="14">
        <f t="shared" si="13"/>
        <v>0.12736348238583747</v>
      </c>
      <c r="G83" s="14">
        <f t="shared" si="14"/>
        <v>0.21493399128917906</v>
      </c>
      <c r="H83" s="4">
        <f t="shared" si="15"/>
        <v>4.0857629036449343E-2</v>
      </c>
      <c r="I83" s="4" t="str">
        <f t="shared" si="16"/>
        <v>C1</v>
      </c>
      <c r="J83" s="14">
        <f t="shared" si="17"/>
        <v>1.6693458504801085E-3</v>
      </c>
    </row>
    <row r="85" spans="2:11" x14ac:dyDescent="0.35">
      <c r="B85" s="100" t="s">
        <v>240</v>
      </c>
      <c r="C85" s="100"/>
      <c r="D85" s="100"/>
    </row>
    <row r="86" spans="2:11" x14ac:dyDescent="0.35">
      <c r="B86" s="16">
        <v>1</v>
      </c>
      <c r="C86" s="55">
        <f>AVERAGEIFS(C$3:C$17,$I$69:$I$83, "C1")</f>
        <v>0.17175925925925925</v>
      </c>
      <c r="D86" s="55">
        <f>AVERAGEIFS(D$3:D$17,$I$69:$I$83, "C1")</f>
        <v>0.13981481481481484</v>
      </c>
    </row>
    <row r="87" spans="2:11" x14ac:dyDescent="0.35">
      <c r="B87" s="16">
        <v>2</v>
      </c>
      <c r="C87" s="55">
        <f>AVERAGEIFS(C$3:C$17,$I$69:$I$83, "C2")</f>
        <v>0.26249999999999996</v>
      </c>
      <c r="D87" s="55">
        <f>AVERAGEIFS(D$3:D$17,$I$69:$I$83, "C2")</f>
        <v>0.14050925925925928</v>
      </c>
    </row>
    <row r="88" spans="2:11" x14ac:dyDescent="0.35">
      <c r="B88" s="16">
        <v>3</v>
      </c>
      <c r="C88" s="55">
        <f>AVERAGEIFS(C$3:C$17,$I$69:$I$83, "C3")</f>
        <v>0.36342592592592587</v>
      </c>
      <c r="D88" s="55">
        <f>AVERAGEIFS(D$3:D$17,$I$69:$I$83, "C3")</f>
        <v>0.14351851851851852</v>
      </c>
    </row>
    <row r="90" spans="2:11" ht="43.5" x14ac:dyDescent="0.35">
      <c r="B90" s="22" t="s">
        <v>237</v>
      </c>
      <c r="C90" s="22" t="s">
        <v>238</v>
      </c>
      <c r="D90" s="22" t="s">
        <v>239</v>
      </c>
      <c r="E90" s="22" t="s">
        <v>49</v>
      </c>
      <c r="F90" s="22" t="s">
        <v>53</v>
      </c>
      <c r="G90" s="22" t="s">
        <v>58</v>
      </c>
      <c r="H90" s="22" t="s">
        <v>86</v>
      </c>
      <c r="I90" s="22" t="s">
        <v>47</v>
      </c>
      <c r="J90" s="22" t="s">
        <v>104</v>
      </c>
      <c r="K90" s="56" t="s">
        <v>191</v>
      </c>
    </row>
    <row r="91" spans="2:11" x14ac:dyDescent="0.35">
      <c r="B91" s="16">
        <v>1</v>
      </c>
      <c r="C91" s="55">
        <v>0.25</v>
      </c>
      <c r="D91" s="16">
        <v>0.14722222222222223</v>
      </c>
      <c r="E91" s="4">
        <f>SQRT(SUMXMY2(C69:D69, $C$86:$D$86))</f>
        <v>7.8590605012044054E-2</v>
      </c>
      <c r="F91" s="14">
        <f>SQRT(SUMXMY2(C69:D69, $C$87:$D$87))</f>
        <v>1.4188511963631393E-2</v>
      </c>
      <c r="G91" s="14">
        <f>SQRT(SUMXMY2(C69:D69, $C$88:$D$88))</f>
        <v>0.11348637844815761</v>
      </c>
      <c r="H91" s="4">
        <f>MIN(E91:G91)</f>
        <v>1.4188511963631393E-2</v>
      </c>
      <c r="I91" s="4" t="str">
        <f>"C"&amp;MATCH(H91,E91:G91,0)</f>
        <v>C2</v>
      </c>
      <c r="J91" s="14">
        <f>H91^2</f>
        <v>2.0131387174211114E-4</v>
      </c>
      <c r="K91">
        <f>SUM(J91:J105)</f>
        <v>8.1060313786008222E-3</v>
      </c>
    </row>
    <row r="92" spans="2:11" x14ac:dyDescent="0.35">
      <c r="B92" s="16">
        <v>2</v>
      </c>
      <c r="C92" s="55">
        <v>0.25486111111111109</v>
      </c>
      <c r="D92" s="55">
        <v>0.12986111111111112</v>
      </c>
      <c r="E92" s="4">
        <f t="shared" ref="E92:E105" si="18">SQRT(SUMXMY2(C70:D70, $C$86:$D$86))</f>
        <v>8.3695842182442109E-2</v>
      </c>
      <c r="F92" s="14">
        <f t="shared" ref="F92:F105" si="19">SQRT(SUMXMY2(C70:D70, $C$87:$D$87))</f>
        <v>1.3104796161776067E-2</v>
      </c>
      <c r="G92" s="14">
        <f t="shared" ref="G92:G105" si="20">SQRT(SUMXMY2(C70:D70, $C$88:$D$88))</f>
        <v>0.10942049073581664</v>
      </c>
      <c r="H92" s="4">
        <f t="shared" ref="H92:H105" si="21">MIN(E92:G92)</f>
        <v>1.3104796161776067E-2</v>
      </c>
      <c r="I92" s="4" t="str">
        <f t="shared" ref="I92:I95" si="22">"C"&amp;MATCH(H92,E92:G92,0)</f>
        <v>C2</v>
      </c>
      <c r="J92" s="14">
        <f t="shared" ref="J92:J105" si="23">H92^2</f>
        <v>1.7173568244170073E-4</v>
      </c>
    </row>
    <row r="93" spans="2:11" x14ac:dyDescent="0.35">
      <c r="B93" s="16">
        <v>3</v>
      </c>
      <c r="C93" s="55">
        <v>0.29444444444444445</v>
      </c>
      <c r="D93" s="55">
        <v>0.14027777777777778</v>
      </c>
      <c r="E93" s="4">
        <f t="shared" si="18"/>
        <v>0.12268605869709999</v>
      </c>
      <c r="F93" s="14">
        <f t="shared" si="19"/>
        <v>3.1945283134454605E-2</v>
      </c>
      <c r="G93" s="14">
        <f t="shared" si="20"/>
        <v>6.905756430637168E-2</v>
      </c>
      <c r="H93" s="4">
        <f t="shared" si="21"/>
        <v>3.1945283134454605E-2</v>
      </c>
      <c r="I93" s="4" t="str">
        <f t="shared" si="22"/>
        <v>C2</v>
      </c>
      <c r="J93" s="14">
        <f t="shared" si="23"/>
        <v>1.0205011145404698E-3</v>
      </c>
    </row>
    <row r="94" spans="2:11" x14ac:dyDescent="0.35">
      <c r="B94" s="16">
        <v>4</v>
      </c>
      <c r="C94" s="55">
        <v>0.25486111111111109</v>
      </c>
      <c r="D94" s="16">
        <v>0.14791666666666667</v>
      </c>
      <c r="E94" s="4">
        <f t="shared" si="18"/>
        <v>8.3495854894937674E-2</v>
      </c>
      <c r="F94" s="14">
        <f t="shared" si="19"/>
        <v>1.0640597161630712E-2</v>
      </c>
      <c r="G94" s="14">
        <f t="shared" si="20"/>
        <v>0.10865386658056898</v>
      </c>
      <c r="H94" s="4">
        <f t="shared" si="21"/>
        <v>1.0640597161630712E-2</v>
      </c>
      <c r="I94" s="4" t="str">
        <f t="shared" si="22"/>
        <v>C2</v>
      </c>
      <c r="J94" s="14">
        <f t="shared" si="23"/>
        <v>1.1322230795610356E-4</v>
      </c>
    </row>
    <row r="95" spans="2:11" x14ac:dyDescent="0.35">
      <c r="B95" s="16">
        <v>5</v>
      </c>
      <c r="C95" s="55">
        <v>0.37638888888888888</v>
      </c>
      <c r="D95" s="55">
        <v>0.12708333333333333</v>
      </c>
      <c r="E95" s="4">
        <f t="shared" si="18"/>
        <v>0.20502530561633778</v>
      </c>
      <c r="F95" s="14">
        <f t="shared" si="19"/>
        <v>0.11467752395004933</v>
      </c>
      <c r="G95" s="14">
        <f t="shared" si="20"/>
        <v>2.0932121747459849E-2</v>
      </c>
      <c r="H95" s="4">
        <f t="shared" si="21"/>
        <v>2.0932121747459849E-2</v>
      </c>
      <c r="I95" s="4" t="str">
        <f t="shared" si="22"/>
        <v>C3</v>
      </c>
      <c r="J95" s="14">
        <f t="shared" si="23"/>
        <v>4.3815372085048156E-4</v>
      </c>
    </row>
    <row r="96" spans="2:11" x14ac:dyDescent="0.35">
      <c r="B96" s="16">
        <v>6</v>
      </c>
      <c r="C96" s="55">
        <v>0.29444444444444445</v>
      </c>
      <c r="D96" s="55">
        <v>0.1451388888888889</v>
      </c>
      <c r="E96" s="4">
        <f t="shared" si="18"/>
        <v>0.12280065320945738</v>
      </c>
      <c r="F96" s="14">
        <f t="shared" si="19"/>
        <v>3.227818150658035E-2</v>
      </c>
      <c r="G96" s="14">
        <f t="shared" si="20"/>
        <v>6.9000510052586839E-2</v>
      </c>
      <c r="H96" s="4">
        <f t="shared" si="21"/>
        <v>3.227818150658035E-2</v>
      </c>
      <c r="I96" s="4" t="str">
        <f>"C"&amp;MATCH(H96,E96:G96,0)</f>
        <v>C2</v>
      </c>
      <c r="J96" s="14">
        <f t="shared" si="23"/>
        <v>1.0418810013717457E-3</v>
      </c>
    </row>
    <row r="97" spans="2:10" x14ac:dyDescent="0.35">
      <c r="B97" s="16">
        <v>7</v>
      </c>
      <c r="C97" s="55">
        <v>0.37708333333333333</v>
      </c>
      <c r="D97" s="55">
        <v>0.14444444444444443</v>
      </c>
      <c r="E97" s="4">
        <f t="shared" si="18"/>
        <v>0.20537626168786743</v>
      </c>
      <c r="F97" s="14">
        <f t="shared" si="19"/>
        <v>0.11465088730672558</v>
      </c>
      <c r="G97" s="14">
        <f t="shared" si="20"/>
        <v>1.3688758742567191E-2</v>
      </c>
      <c r="H97" s="4">
        <f t="shared" si="21"/>
        <v>1.3688758742567191E-2</v>
      </c>
      <c r="I97" s="4" t="str">
        <f t="shared" ref="I97:I105" si="24">"C"&amp;MATCH(H97,E97:G97,0)</f>
        <v>C3</v>
      </c>
      <c r="J97" s="14">
        <f t="shared" si="23"/>
        <v>1.873821159122097E-4</v>
      </c>
    </row>
    <row r="98" spans="2:10" x14ac:dyDescent="0.35">
      <c r="B98" s="16">
        <v>8</v>
      </c>
      <c r="C98" s="55">
        <v>0.1701388888888889</v>
      </c>
      <c r="D98" s="16">
        <v>0.13333333333333333</v>
      </c>
      <c r="E98" s="4">
        <f t="shared" si="18"/>
        <v>6.6809581896582646E-3</v>
      </c>
      <c r="F98" s="14">
        <f t="shared" si="19"/>
        <v>9.2639455733361145E-2</v>
      </c>
      <c r="G98" s="14">
        <f t="shared" si="20"/>
        <v>0.19355520319488551</v>
      </c>
      <c r="H98" s="4">
        <f t="shared" si="21"/>
        <v>6.6809581896582646E-3</v>
      </c>
      <c r="I98" s="4" t="str">
        <f t="shared" si="24"/>
        <v>C1</v>
      </c>
      <c r="J98" s="14">
        <f t="shared" si="23"/>
        <v>4.4635202331961836E-5</v>
      </c>
    </row>
    <row r="99" spans="2:10" x14ac:dyDescent="0.35">
      <c r="B99" s="16">
        <v>9</v>
      </c>
      <c r="C99" s="55">
        <v>0.25277777777777777</v>
      </c>
      <c r="D99" s="16">
        <v>0.14722222222222223</v>
      </c>
      <c r="E99" s="4">
        <f t="shared" si="18"/>
        <v>8.1356438143731696E-2</v>
      </c>
      <c r="F99" s="14">
        <f t="shared" si="19"/>
        <v>1.1814629773310005E-2</v>
      </c>
      <c r="G99" s="14">
        <f t="shared" si="20"/>
        <v>0.11071011746782387</v>
      </c>
      <c r="H99" s="4">
        <f t="shared" si="21"/>
        <v>1.1814629773310005E-2</v>
      </c>
      <c r="I99" s="4" t="str">
        <f t="shared" si="24"/>
        <v>C2</v>
      </c>
      <c r="J99" s="14">
        <f t="shared" si="23"/>
        <v>1.3958547668038322E-4</v>
      </c>
    </row>
    <row r="100" spans="2:10" x14ac:dyDescent="0.35">
      <c r="B100" s="16">
        <v>10</v>
      </c>
      <c r="C100" s="55">
        <v>0.33680555555555558</v>
      </c>
      <c r="D100" s="55">
        <v>0.15902777777777777</v>
      </c>
      <c r="E100" s="4">
        <f t="shared" si="18"/>
        <v>0.16616081928944929</v>
      </c>
      <c r="F100" s="14">
        <f t="shared" si="19"/>
        <v>7.6578398485085047E-2</v>
      </c>
      <c r="G100" s="14">
        <f t="shared" si="20"/>
        <v>3.080878513389659E-2</v>
      </c>
      <c r="H100" s="4">
        <f t="shared" si="21"/>
        <v>3.080878513389659E-2</v>
      </c>
      <c r="I100" s="4" t="str">
        <f t="shared" si="24"/>
        <v>C3</v>
      </c>
      <c r="J100" s="14">
        <f t="shared" si="23"/>
        <v>9.4918124142660755E-4</v>
      </c>
    </row>
    <row r="101" spans="2:10" x14ac:dyDescent="0.35">
      <c r="B101" s="16">
        <v>11</v>
      </c>
      <c r="C101" s="55">
        <v>0.25624999999999998</v>
      </c>
      <c r="D101" s="55">
        <v>0.13055555555555556</v>
      </c>
      <c r="E101" s="4">
        <f t="shared" si="18"/>
        <v>8.4996583183968299E-2</v>
      </c>
      <c r="F101" s="14">
        <f t="shared" si="19"/>
        <v>1.1753242847024168E-2</v>
      </c>
      <c r="G101" s="14">
        <f t="shared" si="20"/>
        <v>0.10795701694127485</v>
      </c>
      <c r="H101" s="4">
        <f t="shared" si="21"/>
        <v>1.1753242847024168E-2</v>
      </c>
      <c r="I101" s="4" t="str">
        <f t="shared" si="24"/>
        <v>C2</v>
      </c>
      <c r="J101" s="14">
        <f t="shared" si="23"/>
        <v>1.3813871742112478E-4</v>
      </c>
    </row>
    <row r="102" spans="2:10" x14ac:dyDescent="0.35">
      <c r="B102" s="16">
        <v>12</v>
      </c>
      <c r="C102" s="55">
        <v>0.21388888888888888</v>
      </c>
      <c r="D102" s="16">
        <v>0.14097222222222222</v>
      </c>
      <c r="E102" s="4">
        <f t="shared" si="18"/>
        <v>4.2145525084360834E-2</v>
      </c>
      <c r="F102" s="14">
        <f t="shared" si="19"/>
        <v>4.861331564666066E-2</v>
      </c>
      <c r="G102" s="14">
        <f t="shared" si="20"/>
        <v>0.14955871445905353</v>
      </c>
      <c r="H102" s="4">
        <f t="shared" si="21"/>
        <v>4.2145525084360834E-2</v>
      </c>
      <c r="I102" s="4" t="str">
        <f t="shared" si="24"/>
        <v>C1</v>
      </c>
      <c r="J102" s="14">
        <f t="shared" si="23"/>
        <v>1.7762452846364883E-3</v>
      </c>
    </row>
    <row r="103" spans="2:10" x14ac:dyDescent="0.35">
      <c r="B103" s="16">
        <v>13</v>
      </c>
      <c r="C103" s="55">
        <v>0.25208333333333333</v>
      </c>
      <c r="D103" s="55">
        <v>0.13750000000000001</v>
      </c>
      <c r="E103" s="4">
        <f t="shared" si="18"/>
        <v>8.0357421831989018E-2</v>
      </c>
      <c r="F103" s="14">
        <f t="shared" si="19"/>
        <v>1.0842628174657715E-2</v>
      </c>
      <c r="G103" s="14">
        <f t="shared" si="20"/>
        <v>0.11150513660992392</v>
      </c>
      <c r="H103" s="4">
        <f t="shared" si="21"/>
        <v>1.0842628174657715E-2</v>
      </c>
      <c r="I103" s="4" t="str">
        <f t="shared" si="24"/>
        <v>C2</v>
      </c>
      <c r="J103" s="14">
        <f t="shared" si="23"/>
        <v>1.175625857338813E-4</v>
      </c>
    </row>
    <row r="104" spans="2:10" x14ac:dyDescent="0.35">
      <c r="B104" s="16">
        <v>14</v>
      </c>
      <c r="C104" s="55">
        <v>0.25277777777777777</v>
      </c>
      <c r="D104" s="55">
        <v>0.1388888888888889</v>
      </c>
      <c r="E104" s="4">
        <f t="shared" si="18"/>
        <v>8.1023809351053286E-2</v>
      </c>
      <c r="F104" s="14">
        <f t="shared" si="19"/>
        <v>9.8563281740943059E-3</v>
      </c>
      <c r="G104" s="14">
        <f t="shared" si="20"/>
        <v>0.11074495997164871</v>
      </c>
      <c r="H104" s="4">
        <f t="shared" si="21"/>
        <v>9.8563281740943059E-3</v>
      </c>
      <c r="I104" s="4" t="str">
        <f t="shared" si="24"/>
        <v>C2</v>
      </c>
      <c r="J104" s="14">
        <f t="shared" si="23"/>
        <v>9.7147205075445202E-5</v>
      </c>
    </row>
    <row r="105" spans="2:10" x14ac:dyDescent="0.35">
      <c r="B105" s="16">
        <v>15</v>
      </c>
      <c r="C105" s="55">
        <v>0.13125000000000001</v>
      </c>
      <c r="D105" s="55">
        <v>0.1451388888888889</v>
      </c>
      <c r="E105" s="4">
        <f t="shared" si="18"/>
        <v>4.0857629036449343E-2</v>
      </c>
      <c r="F105" s="14">
        <f t="shared" si="19"/>
        <v>0.13133162593415013</v>
      </c>
      <c r="G105" s="14">
        <f t="shared" si="20"/>
        <v>0.23218158019037211</v>
      </c>
      <c r="H105" s="4">
        <f t="shared" si="21"/>
        <v>4.0857629036449343E-2</v>
      </c>
      <c r="I105" s="4" t="str">
        <f t="shared" si="24"/>
        <v>C1</v>
      </c>
      <c r="J105" s="14">
        <f t="shared" si="23"/>
        <v>1.6693458504801085E-3</v>
      </c>
    </row>
  </sheetData>
  <mergeCells count="4">
    <mergeCell ref="B19:D19"/>
    <mergeCell ref="B41:D41"/>
    <mergeCell ref="B63:D63"/>
    <mergeCell ref="B85:D8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9E674-4F3A-4963-804E-68CFCDEF17E7}">
  <dimension ref="A1:AC171"/>
  <sheetViews>
    <sheetView topLeftCell="C23" zoomScale="22" zoomScaleNormal="70" workbookViewId="0">
      <selection activeCell="C68" sqref="C68"/>
    </sheetView>
  </sheetViews>
  <sheetFormatPr defaultRowHeight="14.5" x14ac:dyDescent="0.35"/>
  <cols>
    <col min="1" max="1" width="19" bestFit="1" customWidth="1"/>
    <col min="2" max="2" width="12.36328125" customWidth="1"/>
    <col min="3" max="3" width="21" customWidth="1"/>
    <col min="4" max="4" width="8.7265625" customWidth="1"/>
    <col min="5" max="5" width="10.08984375" bestFit="1" customWidth="1"/>
    <col min="6" max="6" width="41.26953125" customWidth="1"/>
    <col min="7" max="7" width="57.26953125" customWidth="1"/>
    <col min="8" max="8" width="9.26953125" customWidth="1"/>
    <col min="9" max="9" width="37.90625" customWidth="1"/>
    <col min="10" max="10" width="14.36328125" customWidth="1"/>
    <col min="11" max="11" width="25.90625" customWidth="1"/>
    <col min="12" max="17" width="10.08984375" bestFit="1" customWidth="1"/>
    <col min="18" max="18" width="16.7265625" customWidth="1"/>
    <col min="19" max="19" width="16.36328125" customWidth="1"/>
    <col min="20" max="20" width="15" customWidth="1"/>
    <col min="21" max="21" width="36.81640625" customWidth="1"/>
    <col min="27" max="27" width="16.36328125" customWidth="1"/>
    <col min="28" max="28" width="18.453125" customWidth="1"/>
    <col min="29" max="29" width="17.6328125" customWidth="1"/>
  </cols>
  <sheetData>
    <row r="1" spans="1:29" x14ac:dyDescent="0.35">
      <c r="A1" s="45" t="s">
        <v>105</v>
      </c>
      <c r="B1" s="45" t="s">
        <v>106</v>
      </c>
      <c r="C1" s="45" t="s">
        <v>107</v>
      </c>
      <c r="D1" s="45" t="s">
        <v>108</v>
      </c>
      <c r="E1" s="45" t="s">
        <v>109</v>
      </c>
      <c r="F1" s="45" t="s">
        <v>110</v>
      </c>
      <c r="G1" s="45" t="s">
        <v>111</v>
      </c>
      <c r="H1" s="45" t="s">
        <v>112</v>
      </c>
      <c r="I1" s="45" t="s">
        <v>113</v>
      </c>
      <c r="J1" s="45" t="s">
        <v>114</v>
      </c>
      <c r="K1" s="45" t="s">
        <v>115</v>
      </c>
      <c r="L1" s="45" t="s">
        <v>116</v>
      </c>
      <c r="M1" s="45" t="s">
        <v>117</v>
      </c>
      <c r="N1" s="45" t="s">
        <v>118</v>
      </c>
      <c r="O1" s="45" t="s">
        <v>119</v>
      </c>
      <c r="P1" s="45" t="s">
        <v>120</v>
      </c>
      <c r="Q1" s="45" t="s">
        <v>121</v>
      </c>
      <c r="R1" s="45" t="s">
        <v>122</v>
      </c>
      <c r="S1" s="46" t="s">
        <v>123</v>
      </c>
      <c r="T1" s="46" t="s">
        <v>258</v>
      </c>
      <c r="U1" s="46" t="s">
        <v>257</v>
      </c>
      <c r="V1" s="46" t="s">
        <v>256</v>
      </c>
      <c r="W1" s="46" t="s">
        <v>255</v>
      </c>
      <c r="X1" s="45" t="s">
        <v>128</v>
      </c>
      <c r="Y1" s="45" t="s">
        <v>129</v>
      </c>
      <c r="AA1" s="100" t="s">
        <v>265</v>
      </c>
      <c r="AB1" s="100"/>
      <c r="AC1" s="100"/>
    </row>
    <row r="2" spans="1:29" ht="15.5" x14ac:dyDescent="0.35">
      <c r="A2" s="44">
        <v>46050.262193344897</v>
      </c>
      <c r="B2" s="14" t="s">
        <v>130</v>
      </c>
      <c r="C2" s="14" t="s">
        <v>131</v>
      </c>
      <c r="D2" s="14">
        <v>3.8</v>
      </c>
      <c r="E2" s="14">
        <v>7</v>
      </c>
      <c r="F2" s="14">
        <v>3</v>
      </c>
      <c r="G2" s="14">
        <v>2</v>
      </c>
      <c r="H2" s="14">
        <v>2</v>
      </c>
      <c r="I2" s="14">
        <v>2</v>
      </c>
      <c r="J2" s="14">
        <v>2</v>
      </c>
      <c r="K2" s="14">
        <v>3</v>
      </c>
      <c r="L2" s="14">
        <v>2</v>
      </c>
      <c r="M2" s="14">
        <v>3</v>
      </c>
      <c r="N2" s="14">
        <v>2</v>
      </c>
      <c r="O2" s="14">
        <v>3</v>
      </c>
      <c r="P2" s="14">
        <v>3</v>
      </c>
      <c r="Q2" s="14">
        <v>2</v>
      </c>
      <c r="R2" s="14">
        <v>2</v>
      </c>
      <c r="S2" s="14">
        <v>120</v>
      </c>
      <c r="T2" s="14">
        <v>2</v>
      </c>
      <c r="U2" s="14">
        <v>2</v>
      </c>
      <c r="V2" s="14">
        <v>3</v>
      </c>
      <c r="W2" s="14">
        <v>2</v>
      </c>
      <c r="X2" s="14" t="s">
        <v>132</v>
      </c>
      <c r="Y2" s="14" t="s">
        <v>133</v>
      </c>
      <c r="AA2" s="60" t="s">
        <v>237</v>
      </c>
      <c r="AB2" s="60" t="s">
        <v>260</v>
      </c>
      <c r="AC2" s="60" t="s">
        <v>261</v>
      </c>
    </row>
    <row r="3" spans="1:29" ht="15.5" x14ac:dyDescent="0.35">
      <c r="A3" s="44">
        <v>46050.26299427083</v>
      </c>
      <c r="B3" s="14" t="s">
        <v>134</v>
      </c>
      <c r="C3" s="14" t="s">
        <v>135</v>
      </c>
      <c r="D3" s="14">
        <v>3.7</v>
      </c>
      <c r="E3" s="14">
        <v>7</v>
      </c>
      <c r="F3" s="14">
        <v>3</v>
      </c>
      <c r="G3" s="14">
        <v>2</v>
      </c>
      <c r="H3" s="14">
        <v>3</v>
      </c>
      <c r="I3" s="14">
        <v>2</v>
      </c>
      <c r="J3" s="14">
        <v>3</v>
      </c>
      <c r="K3" s="14">
        <v>2</v>
      </c>
      <c r="L3" s="14">
        <v>2</v>
      </c>
      <c r="M3" s="14">
        <v>3</v>
      </c>
      <c r="N3" s="14">
        <v>2</v>
      </c>
      <c r="O3" s="14">
        <v>2</v>
      </c>
      <c r="P3" s="14">
        <v>2</v>
      </c>
      <c r="Q3" s="14">
        <v>3</v>
      </c>
      <c r="R3" s="14">
        <v>2</v>
      </c>
      <c r="S3" s="14">
        <v>120</v>
      </c>
      <c r="T3" s="14">
        <v>3</v>
      </c>
      <c r="U3" s="14">
        <v>3</v>
      </c>
      <c r="V3" s="14">
        <v>3</v>
      </c>
      <c r="W3" s="14">
        <v>2</v>
      </c>
      <c r="X3" s="14" t="s">
        <v>136</v>
      </c>
      <c r="Y3" s="14" t="s">
        <v>133</v>
      </c>
      <c r="AA3" s="60">
        <v>1</v>
      </c>
      <c r="AB3" s="60">
        <v>1</v>
      </c>
      <c r="AC3" s="60" t="s">
        <v>262</v>
      </c>
    </row>
    <row r="4" spans="1:29" ht="15.5" x14ac:dyDescent="0.35">
      <c r="A4" s="44">
        <v>46050.264810138891</v>
      </c>
      <c r="B4" s="14" t="s">
        <v>241</v>
      </c>
      <c r="C4" s="14" t="s">
        <v>242</v>
      </c>
      <c r="D4" s="14">
        <v>3.5</v>
      </c>
      <c r="E4" s="14">
        <v>7</v>
      </c>
      <c r="F4" s="14">
        <v>2</v>
      </c>
      <c r="G4" s="14">
        <v>3</v>
      </c>
      <c r="H4" s="14">
        <v>3</v>
      </c>
      <c r="I4" s="14">
        <v>2</v>
      </c>
      <c r="J4" s="14">
        <v>3</v>
      </c>
      <c r="K4" s="14">
        <v>2</v>
      </c>
      <c r="L4" s="14">
        <v>3</v>
      </c>
      <c r="M4" s="14">
        <v>3</v>
      </c>
      <c r="N4" s="14">
        <v>2</v>
      </c>
      <c r="O4" s="14">
        <v>3</v>
      </c>
      <c r="P4" s="14">
        <v>2</v>
      </c>
      <c r="Q4" s="14">
        <v>3</v>
      </c>
      <c r="R4" s="14">
        <v>2</v>
      </c>
      <c r="S4" s="14">
        <v>120</v>
      </c>
      <c r="T4" s="14">
        <v>3</v>
      </c>
      <c r="U4" s="14">
        <v>3</v>
      </c>
      <c r="V4" s="14">
        <v>2</v>
      </c>
      <c r="W4" s="14">
        <v>3</v>
      </c>
      <c r="X4" s="14" t="s">
        <v>243</v>
      </c>
      <c r="Y4" s="14" t="s">
        <v>133</v>
      </c>
      <c r="AA4" s="60">
        <v>2</v>
      </c>
      <c r="AB4" s="60">
        <v>2</v>
      </c>
      <c r="AC4" s="60" t="s">
        <v>263</v>
      </c>
    </row>
    <row r="5" spans="1:29" ht="15.5" x14ac:dyDescent="0.35">
      <c r="A5" s="44">
        <v>46050.281735092591</v>
      </c>
      <c r="B5" s="14" t="s">
        <v>244</v>
      </c>
      <c r="C5" s="14" t="s">
        <v>245</v>
      </c>
      <c r="D5" s="14">
        <v>3.7</v>
      </c>
      <c r="E5" s="14">
        <v>5</v>
      </c>
      <c r="F5" s="14">
        <v>3</v>
      </c>
      <c r="G5" s="14">
        <v>2</v>
      </c>
      <c r="H5" s="14">
        <v>3</v>
      </c>
      <c r="I5" s="14">
        <v>2</v>
      </c>
      <c r="J5" s="14">
        <v>3</v>
      </c>
      <c r="K5" s="14">
        <v>2</v>
      </c>
      <c r="L5" s="14">
        <v>2</v>
      </c>
      <c r="M5" s="14">
        <v>2</v>
      </c>
      <c r="N5" s="14">
        <v>3</v>
      </c>
      <c r="O5" s="14">
        <v>2</v>
      </c>
      <c r="P5" s="14">
        <v>3</v>
      </c>
      <c r="Q5" s="14">
        <v>2</v>
      </c>
      <c r="R5" s="14">
        <v>2</v>
      </c>
      <c r="S5" s="14">
        <v>120</v>
      </c>
      <c r="T5" s="14">
        <v>2</v>
      </c>
      <c r="U5" s="14">
        <v>2</v>
      </c>
      <c r="V5" s="14">
        <v>3</v>
      </c>
      <c r="W5" s="14">
        <v>2</v>
      </c>
      <c r="X5" s="14" t="s">
        <v>246</v>
      </c>
      <c r="Y5" s="14" t="s">
        <v>133</v>
      </c>
      <c r="AA5" s="60">
        <v>3</v>
      </c>
      <c r="AB5" s="60">
        <v>3</v>
      </c>
      <c r="AC5" s="60" t="s">
        <v>264</v>
      </c>
    </row>
    <row r="6" spans="1:29" x14ac:dyDescent="0.35">
      <c r="A6" s="44">
        <v>46050.283431493059</v>
      </c>
      <c r="B6" s="14" t="s">
        <v>137</v>
      </c>
      <c r="C6" s="14" t="s">
        <v>138</v>
      </c>
      <c r="D6" s="14">
        <v>3.8</v>
      </c>
      <c r="E6" s="14">
        <v>7</v>
      </c>
      <c r="F6" s="14">
        <v>2</v>
      </c>
      <c r="G6" s="14">
        <v>2</v>
      </c>
      <c r="H6" s="14">
        <v>2</v>
      </c>
      <c r="I6" s="14">
        <v>3</v>
      </c>
      <c r="J6" s="14">
        <v>2</v>
      </c>
      <c r="K6" s="14">
        <v>2</v>
      </c>
      <c r="L6" s="14">
        <v>2</v>
      </c>
      <c r="M6" s="14">
        <v>2</v>
      </c>
      <c r="N6" s="14">
        <v>2</v>
      </c>
      <c r="O6" s="14">
        <v>3</v>
      </c>
      <c r="P6" s="14">
        <v>2</v>
      </c>
      <c r="Q6" s="14">
        <v>2</v>
      </c>
      <c r="R6" s="14">
        <v>2</v>
      </c>
      <c r="S6" s="14">
        <v>122</v>
      </c>
      <c r="T6" s="14">
        <v>2</v>
      </c>
      <c r="U6" s="14">
        <v>2</v>
      </c>
      <c r="V6" s="14">
        <v>2</v>
      </c>
      <c r="W6" s="14">
        <v>3</v>
      </c>
      <c r="X6" s="14" t="s">
        <v>139</v>
      </c>
      <c r="Y6" s="14" t="s">
        <v>133</v>
      </c>
    </row>
    <row r="7" spans="1:29" x14ac:dyDescent="0.35">
      <c r="A7" s="44">
        <v>46050.284407905092</v>
      </c>
      <c r="B7" s="14" t="s">
        <v>140</v>
      </c>
      <c r="C7" s="14" t="s">
        <v>141</v>
      </c>
      <c r="D7" s="14">
        <v>3.7</v>
      </c>
      <c r="E7" s="14">
        <v>7</v>
      </c>
      <c r="F7" s="14">
        <v>2</v>
      </c>
      <c r="G7" s="14">
        <v>2</v>
      </c>
      <c r="H7" s="14">
        <v>3</v>
      </c>
      <c r="I7" s="14">
        <v>2</v>
      </c>
      <c r="J7" s="14">
        <v>3</v>
      </c>
      <c r="K7" s="14">
        <v>2</v>
      </c>
      <c r="L7" s="14">
        <v>2</v>
      </c>
      <c r="M7" s="14">
        <v>2</v>
      </c>
      <c r="N7" s="14">
        <v>2</v>
      </c>
      <c r="O7" s="14">
        <v>2</v>
      </c>
      <c r="P7" s="14">
        <v>3</v>
      </c>
      <c r="Q7" s="14">
        <v>3</v>
      </c>
      <c r="R7" s="14">
        <v>2</v>
      </c>
      <c r="S7" s="14">
        <v>119</v>
      </c>
      <c r="T7" s="14">
        <v>3</v>
      </c>
      <c r="U7" s="14">
        <v>3</v>
      </c>
      <c r="V7" s="14">
        <v>2</v>
      </c>
      <c r="W7" s="14">
        <v>2</v>
      </c>
      <c r="X7" s="14" t="s">
        <v>142</v>
      </c>
      <c r="Y7" s="14" t="s">
        <v>133</v>
      </c>
      <c r="AA7" s="100" t="s">
        <v>270</v>
      </c>
      <c r="AB7" s="100"/>
      <c r="AC7" s="100"/>
    </row>
    <row r="8" spans="1:29" ht="15.5" x14ac:dyDescent="0.35">
      <c r="A8" s="44">
        <v>46050.287067893521</v>
      </c>
      <c r="B8" s="14" t="s">
        <v>143</v>
      </c>
      <c r="C8" s="14" t="s">
        <v>144</v>
      </c>
      <c r="D8" s="14">
        <v>3.7</v>
      </c>
      <c r="E8" s="14">
        <v>7</v>
      </c>
      <c r="F8" s="14">
        <v>3</v>
      </c>
      <c r="G8" s="14">
        <v>2</v>
      </c>
      <c r="H8" s="14">
        <v>3</v>
      </c>
      <c r="I8" s="14">
        <v>2</v>
      </c>
      <c r="J8" s="14">
        <v>3</v>
      </c>
      <c r="K8" s="14">
        <v>2</v>
      </c>
      <c r="L8" s="14">
        <v>3</v>
      </c>
      <c r="M8" s="14">
        <v>2</v>
      </c>
      <c r="N8" s="14">
        <v>3</v>
      </c>
      <c r="O8" s="14">
        <v>2</v>
      </c>
      <c r="P8" s="14">
        <v>2</v>
      </c>
      <c r="Q8" s="14">
        <v>2</v>
      </c>
      <c r="R8" s="14">
        <v>2</v>
      </c>
      <c r="S8" s="14">
        <v>120</v>
      </c>
      <c r="T8" s="14">
        <v>2</v>
      </c>
      <c r="U8" s="14">
        <v>3</v>
      </c>
      <c r="V8" s="14">
        <v>2</v>
      </c>
      <c r="W8" s="14">
        <v>2</v>
      </c>
      <c r="X8" s="14" t="s">
        <v>145</v>
      </c>
      <c r="Y8" s="14" t="s">
        <v>133</v>
      </c>
      <c r="AA8" s="60" t="s">
        <v>237</v>
      </c>
      <c r="AB8" s="60" t="s">
        <v>266</v>
      </c>
      <c r="AC8" s="60" t="s">
        <v>261</v>
      </c>
    </row>
    <row r="9" spans="1:29" ht="15.5" x14ac:dyDescent="0.35">
      <c r="A9" s="44">
        <v>46050.288233969914</v>
      </c>
      <c r="B9" s="14" t="s">
        <v>146</v>
      </c>
      <c r="C9" s="14" t="s">
        <v>147</v>
      </c>
      <c r="D9" s="14">
        <v>3.6</v>
      </c>
      <c r="E9" s="14">
        <v>7</v>
      </c>
      <c r="F9" s="14">
        <v>2</v>
      </c>
      <c r="G9" s="14">
        <v>2</v>
      </c>
      <c r="H9" s="14">
        <v>2</v>
      </c>
      <c r="I9" s="14">
        <v>2</v>
      </c>
      <c r="J9" s="14">
        <v>2</v>
      </c>
      <c r="K9" s="14">
        <v>2</v>
      </c>
      <c r="L9" s="14">
        <v>3</v>
      </c>
      <c r="M9" s="14">
        <v>2</v>
      </c>
      <c r="N9" s="14">
        <v>2</v>
      </c>
      <c r="O9" s="14">
        <v>2</v>
      </c>
      <c r="P9" s="14">
        <v>2</v>
      </c>
      <c r="Q9" s="14">
        <v>3</v>
      </c>
      <c r="R9" s="14">
        <v>2</v>
      </c>
      <c r="S9" s="14">
        <v>119</v>
      </c>
      <c r="T9" s="14">
        <v>2</v>
      </c>
      <c r="U9" s="14">
        <v>2</v>
      </c>
      <c r="V9" s="14">
        <v>2</v>
      </c>
      <c r="W9" s="14">
        <v>2</v>
      </c>
      <c r="X9" s="14" t="s">
        <v>148</v>
      </c>
      <c r="Y9" s="14" t="s">
        <v>133</v>
      </c>
      <c r="AA9" s="60">
        <v>1</v>
      </c>
      <c r="AB9" s="60">
        <v>1</v>
      </c>
      <c r="AC9" s="60" t="s">
        <v>267</v>
      </c>
    </row>
    <row r="10" spans="1:29" ht="15.5" x14ac:dyDescent="0.35">
      <c r="A10" s="44">
        <v>46050.290445219907</v>
      </c>
      <c r="B10" s="14" t="s">
        <v>149</v>
      </c>
      <c r="C10" s="14" t="s">
        <v>11</v>
      </c>
      <c r="D10" s="14">
        <v>3.8</v>
      </c>
      <c r="E10" s="14">
        <v>7</v>
      </c>
      <c r="F10" s="14">
        <v>2</v>
      </c>
      <c r="G10" s="14">
        <v>3</v>
      </c>
      <c r="H10" s="14">
        <v>3</v>
      </c>
      <c r="I10" s="14">
        <v>2</v>
      </c>
      <c r="J10" s="14">
        <v>3</v>
      </c>
      <c r="K10" s="14">
        <v>2</v>
      </c>
      <c r="L10" s="14">
        <v>2</v>
      </c>
      <c r="M10" s="14">
        <v>2</v>
      </c>
      <c r="N10" s="14">
        <v>3</v>
      </c>
      <c r="O10" s="14">
        <v>2</v>
      </c>
      <c r="P10" s="14">
        <v>2</v>
      </c>
      <c r="Q10" s="14">
        <v>3</v>
      </c>
      <c r="R10" s="14">
        <v>2</v>
      </c>
      <c r="S10" s="14">
        <v>120</v>
      </c>
      <c r="T10" s="14">
        <v>3</v>
      </c>
      <c r="U10" s="14">
        <v>3</v>
      </c>
      <c r="V10" s="14">
        <v>2</v>
      </c>
      <c r="W10" s="14">
        <v>2</v>
      </c>
      <c r="X10" s="14" t="s">
        <v>150</v>
      </c>
      <c r="Y10" s="14" t="s">
        <v>133</v>
      </c>
      <c r="AA10" s="60">
        <v>2</v>
      </c>
      <c r="AB10" s="60">
        <v>2</v>
      </c>
      <c r="AC10" s="60" t="s">
        <v>268</v>
      </c>
    </row>
    <row r="11" spans="1:29" ht="15.5" x14ac:dyDescent="0.35">
      <c r="A11" s="44">
        <v>46050.291332025467</v>
      </c>
      <c r="B11" s="14" t="s">
        <v>151</v>
      </c>
      <c r="C11" s="14" t="s">
        <v>152</v>
      </c>
      <c r="D11" s="14">
        <v>3.7</v>
      </c>
      <c r="E11" s="14">
        <v>7</v>
      </c>
      <c r="F11" s="14">
        <v>3</v>
      </c>
      <c r="G11" s="14">
        <v>2</v>
      </c>
      <c r="H11" s="14">
        <v>2</v>
      </c>
      <c r="I11" s="14">
        <v>3</v>
      </c>
      <c r="J11" s="14">
        <v>2</v>
      </c>
      <c r="K11" s="14">
        <v>2</v>
      </c>
      <c r="L11" s="14">
        <v>2</v>
      </c>
      <c r="M11" s="14">
        <v>3</v>
      </c>
      <c r="N11" s="14">
        <v>2</v>
      </c>
      <c r="O11" s="14">
        <v>3</v>
      </c>
      <c r="P11" s="14">
        <v>2</v>
      </c>
      <c r="Q11" s="14">
        <v>2</v>
      </c>
      <c r="R11" s="14">
        <v>2</v>
      </c>
      <c r="S11" s="14">
        <v>119</v>
      </c>
      <c r="T11" s="14">
        <v>2</v>
      </c>
      <c r="U11" s="14">
        <v>2</v>
      </c>
      <c r="V11" s="14">
        <v>3</v>
      </c>
      <c r="W11" s="14">
        <v>3</v>
      </c>
      <c r="X11" s="14" t="s">
        <v>153</v>
      </c>
      <c r="Y11" s="14" t="s">
        <v>133</v>
      </c>
      <c r="AA11" s="60">
        <v>3</v>
      </c>
      <c r="AB11" s="60">
        <v>3</v>
      </c>
      <c r="AC11" s="60" t="s">
        <v>269</v>
      </c>
    </row>
    <row r="12" spans="1:29" x14ac:dyDescent="0.35">
      <c r="A12" s="44">
        <v>46051.331695856483</v>
      </c>
      <c r="B12" s="14" t="s">
        <v>154</v>
      </c>
      <c r="C12" s="14" t="s">
        <v>155</v>
      </c>
      <c r="D12" s="14">
        <v>3.5</v>
      </c>
      <c r="E12" s="14">
        <v>7</v>
      </c>
      <c r="F12" s="14">
        <v>2</v>
      </c>
      <c r="G12" s="14">
        <v>2</v>
      </c>
      <c r="H12" s="14">
        <v>2</v>
      </c>
      <c r="I12" s="14">
        <v>2</v>
      </c>
      <c r="J12" s="14">
        <v>2</v>
      </c>
      <c r="K12" s="14">
        <v>2</v>
      </c>
      <c r="L12" s="14">
        <v>2</v>
      </c>
      <c r="M12" s="14">
        <v>2</v>
      </c>
      <c r="N12" s="14">
        <v>3</v>
      </c>
      <c r="O12" s="14">
        <v>2</v>
      </c>
      <c r="P12" s="14">
        <v>3</v>
      </c>
      <c r="Q12" s="14">
        <v>2</v>
      </c>
      <c r="R12" s="14">
        <v>3</v>
      </c>
      <c r="S12" s="14">
        <v>119</v>
      </c>
      <c r="T12" s="14">
        <v>2</v>
      </c>
      <c r="U12" s="14">
        <v>2</v>
      </c>
      <c r="V12" s="14">
        <v>2</v>
      </c>
      <c r="W12" s="14">
        <v>3</v>
      </c>
      <c r="X12" s="14" t="s">
        <v>156</v>
      </c>
      <c r="Y12" s="14" t="s">
        <v>133</v>
      </c>
    </row>
    <row r="13" spans="1:29" x14ac:dyDescent="0.35">
      <c r="A13" s="44">
        <v>46058.48975453704</v>
      </c>
      <c r="B13" s="14" t="s">
        <v>157</v>
      </c>
      <c r="C13" s="14" t="s">
        <v>158</v>
      </c>
      <c r="D13" s="14">
        <v>3.8</v>
      </c>
      <c r="E13" s="14">
        <v>7</v>
      </c>
      <c r="F13" s="14">
        <v>3</v>
      </c>
      <c r="G13" s="14">
        <v>3</v>
      </c>
      <c r="H13" s="14">
        <v>2</v>
      </c>
      <c r="I13" s="14">
        <v>3</v>
      </c>
      <c r="J13" s="14">
        <v>2</v>
      </c>
      <c r="K13" s="14">
        <v>3</v>
      </c>
      <c r="L13" s="14">
        <v>2</v>
      </c>
      <c r="M13" s="14">
        <v>3</v>
      </c>
      <c r="N13" s="14">
        <v>2</v>
      </c>
      <c r="O13" s="14">
        <v>2</v>
      </c>
      <c r="P13" s="14">
        <v>3</v>
      </c>
      <c r="Q13" s="14">
        <v>2</v>
      </c>
      <c r="R13" s="14">
        <v>2</v>
      </c>
      <c r="S13" s="14">
        <v>122</v>
      </c>
      <c r="T13" s="14">
        <v>2</v>
      </c>
      <c r="U13" s="14">
        <v>2</v>
      </c>
      <c r="V13" s="14">
        <v>3</v>
      </c>
      <c r="W13" s="14">
        <v>2</v>
      </c>
      <c r="X13" s="14" t="s">
        <v>159</v>
      </c>
      <c r="Y13" s="14" t="s">
        <v>133</v>
      </c>
      <c r="AA13" s="100" t="s">
        <v>275</v>
      </c>
      <c r="AB13" s="100"/>
      <c r="AC13" s="100"/>
    </row>
    <row r="14" spans="1:29" ht="15.5" x14ac:dyDescent="0.35">
      <c r="A14" s="44">
        <v>46058.503878784722</v>
      </c>
      <c r="B14" s="14" t="s">
        <v>160</v>
      </c>
      <c r="C14" s="14" t="s">
        <v>161</v>
      </c>
      <c r="D14" s="14">
        <v>3.7</v>
      </c>
      <c r="E14" s="14">
        <v>7</v>
      </c>
      <c r="F14" s="14">
        <v>2</v>
      </c>
      <c r="G14" s="14">
        <v>2</v>
      </c>
      <c r="H14" s="14">
        <v>3</v>
      </c>
      <c r="I14" s="14">
        <v>2</v>
      </c>
      <c r="J14" s="14">
        <v>3</v>
      </c>
      <c r="K14" s="14">
        <v>3</v>
      </c>
      <c r="L14" s="14">
        <v>2</v>
      </c>
      <c r="M14" s="14">
        <v>2</v>
      </c>
      <c r="N14" s="14">
        <v>2</v>
      </c>
      <c r="O14" s="14">
        <v>2</v>
      </c>
      <c r="P14" s="14">
        <v>3</v>
      </c>
      <c r="Q14" s="14">
        <v>3</v>
      </c>
      <c r="R14" s="14">
        <v>2</v>
      </c>
      <c r="S14" s="14">
        <v>119</v>
      </c>
      <c r="T14" s="14">
        <v>3</v>
      </c>
      <c r="U14" s="14">
        <v>3</v>
      </c>
      <c r="V14" s="14">
        <v>2</v>
      </c>
      <c r="W14" s="14">
        <v>2</v>
      </c>
      <c r="X14" s="14" t="s">
        <v>162</v>
      </c>
      <c r="Y14" s="14" t="s">
        <v>133</v>
      </c>
      <c r="AA14" s="60" t="s">
        <v>237</v>
      </c>
      <c r="AB14" s="60" t="s">
        <v>271</v>
      </c>
      <c r="AC14" s="60" t="s">
        <v>261</v>
      </c>
    </row>
    <row r="15" spans="1:29" ht="15.5" x14ac:dyDescent="0.35">
      <c r="A15" s="44">
        <v>46058.508931064818</v>
      </c>
      <c r="B15" s="14" t="s">
        <v>163</v>
      </c>
      <c r="C15" s="14" t="s">
        <v>164</v>
      </c>
      <c r="D15" s="14">
        <v>3.6</v>
      </c>
      <c r="E15" s="14">
        <v>7</v>
      </c>
      <c r="F15" s="14">
        <v>2</v>
      </c>
      <c r="G15" s="14">
        <v>2</v>
      </c>
      <c r="H15" s="14">
        <v>3</v>
      </c>
      <c r="I15" s="14">
        <v>2</v>
      </c>
      <c r="J15" s="14">
        <v>3</v>
      </c>
      <c r="K15" s="14">
        <v>2</v>
      </c>
      <c r="L15" s="14">
        <v>2</v>
      </c>
      <c r="M15" s="14">
        <v>2</v>
      </c>
      <c r="N15" s="14">
        <v>2</v>
      </c>
      <c r="O15" s="14">
        <v>2</v>
      </c>
      <c r="P15" s="14">
        <v>2</v>
      </c>
      <c r="Q15" s="14">
        <v>3</v>
      </c>
      <c r="R15" s="14">
        <v>2</v>
      </c>
      <c r="S15" s="14">
        <v>120</v>
      </c>
      <c r="T15" s="14">
        <v>3</v>
      </c>
      <c r="U15" s="14">
        <v>3</v>
      </c>
      <c r="V15" s="14">
        <v>2</v>
      </c>
      <c r="W15" s="14">
        <v>2</v>
      </c>
      <c r="X15" s="14" t="s">
        <v>165</v>
      </c>
      <c r="Y15" s="14" t="s">
        <v>133</v>
      </c>
      <c r="AA15" s="60">
        <v>1</v>
      </c>
      <c r="AB15" s="60">
        <v>1</v>
      </c>
      <c r="AC15" s="60" t="s">
        <v>272</v>
      </c>
    </row>
    <row r="16" spans="1:29" ht="15.5" x14ac:dyDescent="0.35">
      <c r="A16" s="44">
        <v>46058.509829618059</v>
      </c>
      <c r="B16" s="14" t="s">
        <v>166</v>
      </c>
      <c r="C16" s="14" t="s">
        <v>167</v>
      </c>
      <c r="D16" s="14">
        <v>3.5</v>
      </c>
      <c r="E16" s="14">
        <v>7</v>
      </c>
      <c r="F16" s="14">
        <v>2</v>
      </c>
      <c r="G16" s="14">
        <v>2</v>
      </c>
      <c r="H16" s="14">
        <v>2</v>
      </c>
      <c r="I16" s="14">
        <v>2</v>
      </c>
      <c r="J16" s="14">
        <v>2</v>
      </c>
      <c r="K16" s="14">
        <v>2</v>
      </c>
      <c r="L16" s="14">
        <v>2</v>
      </c>
      <c r="M16" s="14">
        <v>2</v>
      </c>
      <c r="N16" s="14">
        <v>2</v>
      </c>
      <c r="O16" s="14">
        <v>2</v>
      </c>
      <c r="P16" s="14">
        <v>2</v>
      </c>
      <c r="Q16" s="14">
        <v>2</v>
      </c>
      <c r="R16" s="14">
        <v>2</v>
      </c>
      <c r="S16" s="14">
        <v>119</v>
      </c>
      <c r="T16" s="14">
        <v>2</v>
      </c>
      <c r="U16" s="14">
        <v>2</v>
      </c>
      <c r="V16" s="14">
        <v>2</v>
      </c>
      <c r="W16" s="14">
        <v>2</v>
      </c>
      <c r="X16" s="14" t="s">
        <v>168</v>
      </c>
      <c r="Y16" s="14" t="s">
        <v>133</v>
      </c>
      <c r="AA16" s="60">
        <v>2</v>
      </c>
      <c r="AB16" s="60">
        <v>2</v>
      </c>
      <c r="AC16" s="60" t="s">
        <v>273</v>
      </c>
    </row>
    <row r="17" spans="1:29" ht="15.5" x14ac:dyDescent="0.35">
      <c r="A17" s="44">
        <v>46058.510758530087</v>
      </c>
      <c r="B17" s="14" t="s">
        <v>169</v>
      </c>
      <c r="C17" s="14" t="s">
        <v>170</v>
      </c>
      <c r="D17" s="14">
        <v>3.7</v>
      </c>
      <c r="E17" s="14">
        <v>8</v>
      </c>
      <c r="F17" s="14">
        <v>2</v>
      </c>
      <c r="G17" s="14">
        <v>2</v>
      </c>
      <c r="H17" s="14">
        <v>2</v>
      </c>
      <c r="I17" s="14">
        <v>2</v>
      </c>
      <c r="J17" s="14">
        <v>2</v>
      </c>
      <c r="K17" s="14">
        <v>3</v>
      </c>
      <c r="L17" s="14">
        <v>3</v>
      </c>
      <c r="M17" s="14">
        <v>2</v>
      </c>
      <c r="N17" s="14">
        <v>2</v>
      </c>
      <c r="O17" s="14">
        <v>2</v>
      </c>
      <c r="P17" s="14">
        <v>3</v>
      </c>
      <c r="Q17" s="14">
        <v>2</v>
      </c>
      <c r="R17" s="14">
        <v>3</v>
      </c>
      <c r="S17" s="14">
        <v>121</v>
      </c>
      <c r="T17" s="14">
        <v>2</v>
      </c>
      <c r="U17" s="14">
        <v>3</v>
      </c>
      <c r="V17" s="14">
        <v>2</v>
      </c>
      <c r="W17" s="14">
        <v>2</v>
      </c>
      <c r="X17" s="14" t="s">
        <v>171</v>
      </c>
      <c r="Y17" s="14" t="s">
        <v>133</v>
      </c>
      <c r="AA17" s="60">
        <v>3</v>
      </c>
      <c r="AB17" s="60">
        <v>3</v>
      </c>
      <c r="AC17" s="60" t="s">
        <v>274</v>
      </c>
    </row>
    <row r="18" spans="1:29" x14ac:dyDescent="0.35">
      <c r="A18" s="44">
        <v>46058.514247094907</v>
      </c>
      <c r="B18" s="14" t="s">
        <v>172</v>
      </c>
      <c r="C18" s="14" t="s">
        <v>173</v>
      </c>
      <c r="D18" s="14">
        <v>3.8</v>
      </c>
      <c r="E18" s="14">
        <v>7</v>
      </c>
      <c r="F18" s="14">
        <v>3</v>
      </c>
      <c r="G18" s="14">
        <v>3</v>
      </c>
      <c r="H18" s="14">
        <v>2</v>
      </c>
      <c r="I18" s="14">
        <v>2</v>
      </c>
      <c r="J18" s="14">
        <v>2</v>
      </c>
      <c r="K18" s="14">
        <v>2</v>
      </c>
      <c r="L18" s="14">
        <v>2</v>
      </c>
      <c r="M18" s="14">
        <v>3</v>
      </c>
      <c r="N18" s="14">
        <v>3</v>
      </c>
      <c r="O18" s="14">
        <v>2</v>
      </c>
      <c r="P18" s="14">
        <v>2</v>
      </c>
      <c r="Q18" s="14">
        <v>2</v>
      </c>
      <c r="R18" s="14">
        <v>2</v>
      </c>
      <c r="S18" s="14">
        <v>119</v>
      </c>
      <c r="T18" s="14">
        <v>2</v>
      </c>
      <c r="U18" s="14">
        <v>2</v>
      </c>
      <c r="V18" s="14">
        <v>3</v>
      </c>
      <c r="W18" s="14">
        <v>2</v>
      </c>
      <c r="X18" s="14" t="s">
        <v>174</v>
      </c>
      <c r="Y18" s="14" t="s">
        <v>133</v>
      </c>
    </row>
    <row r="19" spans="1:29" x14ac:dyDescent="0.35">
      <c r="A19" s="44">
        <v>46058.515278969913</v>
      </c>
      <c r="B19" s="14" t="s">
        <v>175</v>
      </c>
      <c r="C19" s="14" t="s">
        <v>176</v>
      </c>
      <c r="D19" s="14">
        <v>3.7</v>
      </c>
      <c r="E19" s="14">
        <v>8</v>
      </c>
      <c r="F19" s="14">
        <v>2</v>
      </c>
      <c r="G19" s="14">
        <v>2</v>
      </c>
      <c r="H19" s="14">
        <v>3</v>
      </c>
      <c r="I19" s="14">
        <v>3</v>
      </c>
      <c r="J19" s="14">
        <v>3</v>
      </c>
      <c r="K19" s="14">
        <v>2</v>
      </c>
      <c r="L19" s="14">
        <v>2</v>
      </c>
      <c r="M19" s="14">
        <v>2</v>
      </c>
      <c r="N19" s="14">
        <v>2</v>
      </c>
      <c r="O19" s="14">
        <v>3</v>
      </c>
      <c r="P19" s="14">
        <v>2</v>
      </c>
      <c r="Q19" s="14">
        <v>3</v>
      </c>
      <c r="R19" s="14">
        <v>2</v>
      </c>
      <c r="S19" s="14">
        <v>119</v>
      </c>
      <c r="T19" s="14">
        <v>3</v>
      </c>
      <c r="U19" s="14">
        <v>3</v>
      </c>
      <c r="V19" s="14">
        <v>2</v>
      </c>
      <c r="W19" s="14">
        <v>3</v>
      </c>
      <c r="X19" s="14" t="s">
        <v>177</v>
      </c>
      <c r="Y19" s="14" t="s">
        <v>133</v>
      </c>
    </row>
    <row r="20" spans="1:29" x14ac:dyDescent="0.35">
      <c r="A20" s="44">
        <v>46058.516692974539</v>
      </c>
      <c r="B20" s="14" t="s">
        <v>178</v>
      </c>
      <c r="C20" s="14" t="s">
        <v>179</v>
      </c>
      <c r="D20" s="14">
        <v>3.6</v>
      </c>
      <c r="E20" s="14">
        <v>7</v>
      </c>
      <c r="F20" s="14">
        <v>3</v>
      </c>
      <c r="G20" s="14">
        <v>2</v>
      </c>
      <c r="H20" s="14">
        <v>2</v>
      </c>
      <c r="I20" s="14">
        <v>2</v>
      </c>
      <c r="J20" s="14">
        <v>2</v>
      </c>
      <c r="K20" s="14">
        <v>3</v>
      </c>
      <c r="L20" s="14">
        <v>2</v>
      </c>
      <c r="M20" s="14">
        <v>3</v>
      </c>
      <c r="N20" s="14">
        <v>2</v>
      </c>
      <c r="O20" s="14">
        <v>2</v>
      </c>
      <c r="P20" s="14">
        <v>3</v>
      </c>
      <c r="Q20" s="14">
        <v>2</v>
      </c>
      <c r="R20" s="14">
        <v>2</v>
      </c>
      <c r="S20" s="14">
        <v>120</v>
      </c>
      <c r="T20" s="14">
        <v>2</v>
      </c>
      <c r="U20" s="14">
        <v>2</v>
      </c>
      <c r="V20" s="14">
        <v>3</v>
      </c>
      <c r="W20" s="14">
        <v>2</v>
      </c>
      <c r="X20" s="14" t="s">
        <v>180</v>
      </c>
      <c r="Y20" s="14" t="s">
        <v>133</v>
      </c>
    </row>
    <row r="21" spans="1:29" x14ac:dyDescent="0.35">
      <c r="A21" s="44">
        <v>46058.517446296297</v>
      </c>
      <c r="B21" s="14" t="s">
        <v>181</v>
      </c>
      <c r="C21" s="14" t="s">
        <v>182</v>
      </c>
      <c r="D21" s="14">
        <v>3.3</v>
      </c>
      <c r="E21" s="14">
        <v>9</v>
      </c>
      <c r="F21" s="14">
        <v>2</v>
      </c>
      <c r="G21" s="14">
        <v>2</v>
      </c>
      <c r="H21" s="14">
        <v>2</v>
      </c>
      <c r="I21" s="14">
        <v>2</v>
      </c>
      <c r="J21" s="14">
        <v>2</v>
      </c>
      <c r="K21" s="14">
        <v>2</v>
      </c>
      <c r="L21" s="14">
        <v>2</v>
      </c>
      <c r="M21" s="14">
        <v>2</v>
      </c>
      <c r="N21" s="14">
        <v>2</v>
      </c>
      <c r="O21" s="14">
        <v>2</v>
      </c>
      <c r="P21" s="14">
        <v>2</v>
      </c>
      <c r="Q21" s="14">
        <v>2</v>
      </c>
      <c r="R21" s="14">
        <v>2</v>
      </c>
      <c r="S21" s="14">
        <v>120</v>
      </c>
      <c r="T21" s="14">
        <v>2</v>
      </c>
      <c r="U21" s="14">
        <v>2</v>
      </c>
      <c r="V21" s="14">
        <v>2</v>
      </c>
      <c r="W21" s="14">
        <v>2</v>
      </c>
      <c r="X21" s="14" t="s">
        <v>183</v>
      </c>
      <c r="Y21" s="14" t="s">
        <v>133</v>
      </c>
    </row>
    <row r="22" spans="1:29" x14ac:dyDescent="0.35">
      <c r="A22" s="44">
        <v>46061.415234699067</v>
      </c>
      <c r="B22" s="14" t="s">
        <v>227</v>
      </c>
      <c r="C22" s="14" t="s">
        <v>210</v>
      </c>
      <c r="D22" s="14">
        <v>3.3</v>
      </c>
      <c r="E22" s="14">
        <v>7</v>
      </c>
      <c r="F22" s="14">
        <v>2</v>
      </c>
      <c r="G22" s="14">
        <v>1</v>
      </c>
      <c r="H22" s="14">
        <v>2</v>
      </c>
      <c r="I22" s="14">
        <v>2</v>
      </c>
      <c r="J22" s="14">
        <v>1</v>
      </c>
      <c r="K22" s="14">
        <v>2</v>
      </c>
      <c r="L22" s="14">
        <v>2</v>
      </c>
      <c r="M22" s="14">
        <v>2</v>
      </c>
      <c r="N22" s="14">
        <v>1</v>
      </c>
      <c r="O22" s="14">
        <v>2</v>
      </c>
      <c r="P22" s="14">
        <v>2</v>
      </c>
      <c r="Q22" s="14">
        <v>2</v>
      </c>
      <c r="R22" s="14">
        <v>1</v>
      </c>
      <c r="S22" s="14">
        <v>118</v>
      </c>
      <c r="T22" s="14">
        <v>2</v>
      </c>
      <c r="U22" s="14">
        <v>1</v>
      </c>
      <c r="V22" s="14">
        <v>2</v>
      </c>
      <c r="W22" s="14">
        <v>1</v>
      </c>
      <c r="X22" s="14" t="s">
        <v>183</v>
      </c>
      <c r="Y22" s="14" t="s">
        <v>133</v>
      </c>
    </row>
    <row r="23" spans="1:29" x14ac:dyDescent="0.35">
      <c r="A23" s="44">
        <v>46061.420793113422</v>
      </c>
      <c r="B23" s="14" t="s">
        <v>224</v>
      </c>
      <c r="C23" s="14" t="s">
        <v>213</v>
      </c>
      <c r="D23" s="14">
        <v>3.4</v>
      </c>
      <c r="E23" s="14">
        <v>7</v>
      </c>
      <c r="F23" s="14">
        <v>3</v>
      </c>
      <c r="G23" s="14">
        <v>2</v>
      </c>
      <c r="H23" s="14">
        <v>2</v>
      </c>
      <c r="I23" s="14">
        <v>2</v>
      </c>
      <c r="J23" s="14">
        <v>2</v>
      </c>
      <c r="K23" s="14">
        <v>2</v>
      </c>
      <c r="L23" s="14">
        <v>1</v>
      </c>
      <c r="M23" s="14">
        <v>3</v>
      </c>
      <c r="N23" s="14">
        <v>2</v>
      </c>
      <c r="O23" s="14">
        <v>2</v>
      </c>
      <c r="P23" s="14">
        <v>2</v>
      </c>
      <c r="Q23" s="14">
        <v>2</v>
      </c>
      <c r="R23" s="14">
        <v>1</v>
      </c>
      <c r="S23" s="14">
        <v>120</v>
      </c>
      <c r="T23" s="14">
        <v>2</v>
      </c>
      <c r="U23" s="14">
        <v>2</v>
      </c>
      <c r="V23" s="14">
        <v>3</v>
      </c>
      <c r="W23" s="14">
        <v>2</v>
      </c>
      <c r="X23" s="14" t="s">
        <v>247</v>
      </c>
      <c r="Y23" s="14" t="s">
        <v>133</v>
      </c>
    </row>
    <row r="24" spans="1:29" x14ac:dyDescent="0.35">
      <c r="A24" s="44">
        <v>46061.423281296287</v>
      </c>
      <c r="B24" s="14" t="s">
        <v>248</v>
      </c>
      <c r="C24" s="14" t="s">
        <v>216</v>
      </c>
      <c r="D24" s="14">
        <v>3.1</v>
      </c>
      <c r="E24" s="14">
        <v>8</v>
      </c>
      <c r="F24" s="14">
        <v>1</v>
      </c>
      <c r="G24" s="14">
        <v>2</v>
      </c>
      <c r="H24" s="14">
        <v>1</v>
      </c>
      <c r="I24" s="14">
        <v>2</v>
      </c>
      <c r="J24" s="14">
        <v>2</v>
      </c>
      <c r="K24" s="14">
        <v>1</v>
      </c>
      <c r="L24" s="14">
        <v>2</v>
      </c>
      <c r="M24" s="14">
        <v>2</v>
      </c>
      <c r="N24" s="14">
        <v>2</v>
      </c>
      <c r="O24" s="14">
        <v>1</v>
      </c>
      <c r="P24" s="14">
        <v>1</v>
      </c>
      <c r="Q24" s="14">
        <v>2</v>
      </c>
      <c r="R24" s="14">
        <v>2</v>
      </c>
      <c r="S24" s="14">
        <v>121</v>
      </c>
      <c r="T24" s="14">
        <v>1</v>
      </c>
      <c r="U24" s="14">
        <v>2</v>
      </c>
      <c r="V24" s="14">
        <v>2</v>
      </c>
      <c r="W24" s="14">
        <v>1</v>
      </c>
      <c r="X24" s="14" t="s">
        <v>217</v>
      </c>
      <c r="Y24" s="14" t="s">
        <v>133</v>
      </c>
    </row>
    <row r="25" spans="1:29" x14ac:dyDescent="0.35">
      <c r="A25" s="44">
        <v>46061.426495879627</v>
      </c>
      <c r="B25" s="14" t="s">
        <v>226</v>
      </c>
      <c r="C25" s="14" t="s">
        <v>219</v>
      </c>
      <c r="D25" s="14">
        <v>3.5</v>
      </c>
      <c r="E25" s="14">
        <v>8</v>
      </c>
      <c r="F25" s="14">
        <v>2</v>
      </c>
      <c r="G25" s="14">
        <v>3</v>
      </c>
      <c r="H25" s="14">
        <v>2</v>
      </c>
      <c r="I25" s="14">
        <v>2</v>
      </c>
      <c r="J25" s="14">
        <v>2</v>
      </c>
      <c r="K25" s="14">
        <v>2</v>
      </c>
      <c r="L25" s="14">
        <v>1</v>
      </c>
      <c r="M25" s="14">
        <v>2</v>
      </c>
      <c r="N25" s="14">
        <v>3</v>
      </c>
      <c r="O25" s="14">
        <v>2</v>
      </c>
      <c r="P25" s="14">
        <v>2</v>
      </c>
      <c r="Q25" s="14">
        <v>2</v>
      </c>
      <c r="R25" s="14">
        <v>1</v>
      </c>
      <c r="S25" s="14">
        <v>122</v>
      </c>
      <c r="T25" s="14">
        <v>2</v>
      </c>
      <c r="U25" s="14">
        <v>2</v>
      </c>
      <c r="V25" s="14">
        <v>2</v>
      </c>
      <c r="W25" s="14">
        <v>2</v>
      </c>
      <c r="X25" s="14" t="s">
        <v>249</v>
      </c>
      <c r="Y25" s="14" t="s">
        <v>133</v>
      </c>
    </row>
    <row r="26" spans="1:29" x14ac:dyDescent="0.35">
      <c r="A26" s="44">
        <v>46061.427963807873</v>
      </c>
      <c r="B26" s="14" t="s">
        <v>225</v>
      </c>
      <c r="C26" s="14" t="s">
        <v>222</v>
      </c>
      <c r="D26" s="14">
        <v>3.6</v>
      </c>
      <c r="E26" s="14">
        <v>9</v>
      </c>
      <c r="F26" s="14">
        <v>3</v>
      </c>
      <c r="G26" s="14">
        <v>2</v>
      </c>
      <c r="H26" s="14">
        <v>3</v>
      </c>
      <c r="I26" s="14">
        <v>2</v>
      </c>
      <c r="J26" s="14">
        <v>3</v>
      </c>
      <c r="K26" s="14">
        <v>2</v>
      </c>
      <c r="L26" s="14">
        <v>2</v>
      </c>
      <c r="M26" s="14">
        <v>3</v>
      </c>
      <c r="N26" s="14">
        <v>2</v>
      </c>
      <c r="O26" s="14">
        <v>2</v>
      </c>
      <c r="P26" s="14">
        <v>2</v>
      </c>
      <c r="Q26" s="14">
        <v>3</v>
      </c>
      <c r="R26" s="14">
        <v>2</v>
      </c>
      <c r="S26" s="14">
        <v>124</v>
      </c>
      <c r="T26" s="14">
        <v>3</v>
      </c>
      <c r="U26" s="14">
        <v>2</v>
      </c>
      <c r="V26" s="14">
        <v>3</v>
      </c>
      <c r="W26" s="14">
        <v>2</v>
      </c>
      <c r="X26" s="14" t="s">
        <v>250</v>
      </c>
      <c r="Y26" s="14" t="s">
        <v>133</v>
      </c>
    </row>
    <row r="28" spans="1:29" ht="15" thickBot="1" x14ac:dyDescent="0.4"/>
    <row r="29" spans="1:29" ht="16" thickBot="1" x14ac:dyDescent="0.4">
      <c r="A29" s="59" t="s">
        <v>106</v>
      </c>
      <c r="B29" s="47" t="s">
        <v>192</v>
      </c>
      <c r="C29" s="48" t="s">
        <v>193</v>
      </c>
      <c r="D29" s="48" t="s">
        <v>194</v>
      </c>
      <c r="E29" s="48" t="s">
        <v>195</v>
      </c>
      <c r="F29" s="48" t="s">
        <v>196</v>
      </c>
      <c r="G29" s="48" t="s">
        <v>197</v>
      </c>
      <c r="H29" s="48" t="s">
        <v>198</v>
      </c>
      <c r="I29" s="48" t="s">
        <v>199</v>
      </c>
      <c r="J29" s="48" t="s">
        <v>200</v>
      </c>
      <c r="K29" s="48" t="s">
        <v>201</v>
      </c>
      <c r="L29" s="48" t="s">
        <v>202</v>
      </c>
      <c r="M29" s="48" t="s">
        <v>203</v>
      </c>
      <c r="N29" s="48" t="s">
        <v>204</v>
      </c>
      <c r="O29" s="48" t="s">
        <v>205</v>
      </c>
      <c r="P29" s="48" t="s">
        <v>206</v>
      </c>
      <c r="Q29" s="48" t="s">
        <v>207</v>
      </c>
      <c r="R29" s="48" t="s">
        <v>208</v>
      </c>
      <c r="T29" s="58"/>
      <c r="U29" s="58"/>
    </row>
    <row r="30" spans="1:29" x14ac:dyDescent="0.35">
      <c r="A30" s="14" t="s">
        <v>130</v>
      </c>
      <c r="B30" s="14">
        <v>3</v>
      </c>
      <c r="C30" s="14">
        <v>2</v>
      </c>
      <c r="D30" s="14">
        <v>2</v>
      </c>
      <c r="E30" s="14">
        <v>2</v>
      </c>
      <c r="F30" s="14">
        <v>2</v>
      </c>
      <c r="G30" s="14">
        <v>3</v>
      </c>
      <c r="H30" s="14">
        <v>2</v>
      </c>
      <c r="I30" s="14">
        <v>3</v>
      </c>
      <c r="J30" s="14">
        <v>2</v>
      </c>
      <c r="K30" s="14">
        <v>3</v>
      </c>
      <c r="L30" s="14">
        <v>3</v>
      </c>
      <c r="M30" s="14">
        <v>2</v>
      </c>
      <c r="N30" s="14">
        <v>2</v>
      </c>
      <c r="O30" s="14">
        <v>2</v>
      </c>
      <c r="P30" s="14">
        <v>2</v>
      </c>
      <c r="Q30" s="14">
        <v>3</v>
      </c>
      <c r="R30" s="14">
        <v>2</v>
      </c>
    </row>
    <row r="31" spans="1:29" x14ac:dyDescent="0.35">
      <c r="A31" s="14" t="s">
        <v>134</v>
      </c>
      <c r="B31" s="14">
        <v>3</v>
      </c>
      <c r="C31" s="14">
        <v>2</v>
      </c>
      <c r="D31" s="14">
        <v>3</v>
      </c>
      <c r="E31" s="14">
        <v>2</v>
      </c>
      <c r="F31" s="14">
        <v>3</v>
      </c>
      <c r="G31" s="14">
        <v>2</v>
      </c>
      <c r="H31" s="14">
        <v>2</v>
      </c>
      <c r="I31" s="14">
        <v>3</v>
      </c>
      <c r="J31" s="14">
        <v>2</v>
      </c>
      <c r="K31" s="14">
        <v>2</v>
      </c>
      <c r="L31" s="14">
        <v>2</v>
      </c>
      <c r="M31" s="14">
        <v>3</v>
      </c>
      <c r="N31" s="14">
        <v>2</v>
      </c>
      <c r="O31" s="14">
        <v>3</v>
      </c>
      <c r="P31" s="14">
        <v>3</v>
      </c>
      <c r="Q31" s="14">
        <v>3</v>
      </c>
      <c r="R31" s="14">
        <v>2</v>
      </c>
    </row>
    <row r="32" spans="1:29" x14ac:dyDescent="0.35">
      <c r="A32" s="14" t="s">
        <v>241</v>
      </c>
      <c r="B32" s="14">
        <v>2</v>
      </c>
      <c r="C32" s="14">
        <v>3</v>
      </c>
      <c r="D32" s="14">
        <v>3</v>
      </c>
      <c r="E32" s="14">
        <v>2</v>
      </c>
      <c r="F32" s="14">
        <v>3</v>
      </c>
      <c r="G32" s="14">
        <v>2</v>
      </c>
      <c r="H32" s="14">
        <v>3</v>
      </c>
      <c r="I32" s="14">
        <v>3</v>
      </c>
      <c r="J32" s="14">
        <v>2</v>
      </c>
      <c r="K32" s="14">
        <v>3</v>
      </c>
      <c r="L32" s="14">
        <v>2</v>
      </c>
      <c r="M32" s="14">
        <v>3</v>
      </c>
      <c r="N32" s="14">
        <v>2</v>
      </c>
      <c r="O32" s="14">
        <v>3</v>
      </c>
      <c r="P32" s="14">
        <v>3</v>
      </c>
      <c r="Q32" s="14">
        <v>2</v>
      </c>
      <c r="R32" s="14">
        <v>3</v>
      </c>
    </row>
    <row r="33" spans="1:18" x14ac:dyDescent="0.35">
      <c r="A33" s="14" t="s">
        <v>244</v>
      </c>
      <c r="B33" s="14">
        <v>3</v>
      </c>
      <c r="C33" s="14">
        <v>2</v>
      </c>
      <c r="D33" s="14">
        <v>3</v>
      </c>
      <c r="E33" s="14">
        <v>2</v>
      </c>
      <c r="F33" s="14">
        <v>3</v>
      </c>
      <c r="G33" s="14">
        <v>2</v>
      </c>
      <c r="H33" s="14">
        <v>2</v>
      </c>
      <c r="I33" s="14">
        <v>2</v>
      </c>
      <c r="J33" s="14">
        <v>3</v>
      </c>
      <c r="K33" s="14">
        <v>2</v>
      </c>
      <c r="L33" s="14">
        <v>3</v>
      </c>
      <c r="M33" s="14">
        <v>2</v>
      </c>
      <c r="N33" s="14">
        <v>2</v>
      </c>
      <c r="O33" s="14">
        <v>2</v>
      </c>
      <c r="P33" s="14">
        <v>2</v>
      </c>
      <c r="Q33" s="14">
        <v>3</v>
      </c>
      <c r="R33" s="14">
        <v>2</v>
      </c>
    </row>
    <row r="34" spans="1:18" x14ac:dyDescent="0.35">
      <c r="A34" s="14" t="s">
        <v>137</v>
      </c>
      <c r="B34" s="14">
        <v>2</v>
      </c>
      <c r="C34" s="14">
        <v>2</v>
      </c>
      <c r="D34" s="14">
        <v>2</v>
      </c>
      <c r="E34" s="14">
        <v>3</v>
      </c>
      <c r="F34" s="14">
        <v>2</v>
      </c>
      <c r="G34" s="14">
        <v>2</v>
      </c>
      <c r="H34" s="14">
        <v>2</v>
      </c>
      <c r="I34" s="14">
        <v>2</v>
      </c>
      <c r="J34" s="14">
        <v>2</v>
      </c>
      <c r="K34" s="14">
        <v>3</v>
      </c>
      <c r="L34" s="14">
        <v>2</v>
      </c>
      <c r="M34" s="14">
        <v>2</v>
      </c>
      <c r="N34" s="14">
        <v>2</v>
      </c>
      <c r="O34" s="14">
        <v>2</v>
      </c>
      <c r="P34" s="14">
        <v>2</v>
      </c>
      <c r="Q34" s="14">
        <v>2</v>
      </c>
      <c r="R34" s="14">
        <v>3</v>
      </c>
    </row>
    <row r="35" spans="1:18" x14ac:dyDescent="0.35">
      <c r="A35" s="14" t="s">
        <v>140</v>
      </c>
      <c r="B35" s="14">
        <v>2</v>
      </c>
      <c r="C35" s="14">
        <v>2</v>
      </c>
      <c r="D35" s="14">
        <v>3</v>
      </c>
      <c r="E35" s="14">
        <v>2</v>
      </c>
      <c r="F35" s="14">
        <v>3</v>
      </c>
      <c r="G35" s="14">
        <v>2</v>
      </c>
      <c r="H35" s="14">
        <v>2</v>
      </c>
      <c r="I35" s="14">
        <v>2</v>
      </c>
      <c r="J35" s="14">
        <v>2</v>
      </c>
      <c r="K35" s="14">
        <v>2</v>
      </c>
      <c r="L35" s="14">
        <v>3</v>
      </c>
      <c r="M35" s="14">
        <v>3</v>
      </c>
      <c r="N35" s="14">
        <v>2</v>
      </c>
      <c r="O35" s="14">
        <v>3</v>
      </c>
      <c r="P35" s="14">
        <v>3</v>
      </c>
      <c r="Q35" s="14">
        <v>2</v>
      </c>
      <c r="R35" s="14">
        <v>2</v>
      </c>
    </row>
    <row r="36" spans="1:18" x14ac:dyDescent="0.35">
      <c r="A36" s="14" t="s">
        <v>143</v>
      </c>
      <c r="B36" s="14">
        <v>3</v>
      </c>
      <c r="C36" s="14">
        <v>2</v>
      </c>
      <c r="D36" s="14">
        <v>3</v>
      </c>
      <c r="E36" s="14">
        <v>2</v>
      </c>
      <c r="F36" s="14">
        <v>3</v>
      </c>
      <c r="G36" s="14">
        <v>2</v>
      </c>
      <c r="H36" s="14">
        <v>3</v>
      </c>
      <c r="I36" s="14">
        <v>2</v>
      </c>
      <c r="J36" s="14">
        <v>3</v>
      </c>
      <c r="K36" s="14">
        <v>2</v>
      </c>
      <c r="L36" s="14">
        <v>2</v>
      </c>
      <c r="M36" s="14">
        <v>2</v>
      </c>
      <c r="N36" s="14">
        <v>2</v>
      </c>
      <c r="O36" s="14">
        <v>2</v>
      </c>
      <c r="P36" s="14">
        <v>3</v>
      </c>
      <c r="Q36" s="14">
        <v>2</v>
      </c>
      <c r="R36" s="14">
        <v>2</v>
      </c>
    </row>
    <row r="37" spans="1:18" x14ac:dyDescent="0.35">
      <c r="A37" s="14" t="s">
        <v>146</v>
      </c>
      <c r="B37" s="14">
        <v>2</v>
      </c>
      <c r="C37" s="14">
        <v>2</v>
      </c>
      <c r="D37" s="14">
        <v>2</v>
      </c>
      <c r="E37" s="14">
        <v>2</v>
      </c>
      <c r="F37" s="14">
        <v>2</v>
      </c>
      <c r="G37" s="14">
        <v>2</v>
      </c>
      <c r="H37" s="14">
        <v>3</v>
      </c>
      <c r="I37" s="14">
        <v>2</v>
      </c>
      <c r="J37" s="14">
        <v>2</v>
      </c>
      <c r="K37" s="14">
        <v>2</v>
      </c>
      <c r="L37" s="14">
        <v>2</v>
      </c>
      <c r="M37" s="14">
        <v>3</v>
      </c>
      <c r="N37" s="14">
        <v>2</v>
      </c>
      <c r="O37" s="14">
        <v>2</v>
      </c>
      <c r="P37" s="14">
        <v>2</v>
      </c>
      <c r="Q37" s="14">
        <v>2</v>
      </c>
      <c r="R37" s="14">
        <v>2</v>
      </c>
    </row>
    <row r="38" spans="1:18" x14ac:dyDescent="0.35">
      <c r="A38" s="14" t="s">
        <v>149</v>
      </c>
      <c r="B38" s="14">
        <v>2</v>
      </c>
      <c r="C38" s="14">
        <v>3</v>
      </c>
      <c r="D38" s="14">
        <v>3</v>
      </c>
      <c r="E38" s="14">
        <v>2</v>
      </c>
      <c r="F38" s="14">
        <v>3</v>
      </c>
      <c r="G38" s="14">
        <v>2</v>
      </c>
      <c r="H38" s="14">
        <v>2</v>
      </c>
      <c r="I38" s="14">
        <v>2</v>
      </c>
      <c r="J38" s="14">
        <v>3</v>
      </c>
      <c r="K38" s="14">
        <v>2</v>
      </c>
      <c r="L38" s="14">
        <v>2</v>
      </c>
      <c r="M38" s="14">
        <v>3</v>
      </c>
      <c r="N38" s="14">
        <v>2</v>
      </c>
      <c r="O38" s="14">
        <v>3</v>
      </c>
      <c r="P38" s="14">
        <v>3</v>
      </c>
      <c r="Q38" s="14">
        <v>2</v>
      </c>
      <c r="R38" s="14">
        <v>2</v>
      </c>
    </row>
    <row r="39" spans="1:18" x14ac:dyDescent="0.35">
      <c r="A39" s="14" t="s">
        <v>151</v>
      </c>
      <c r="B39" s="14">
        <v>3</v>
      </c>
      <c r="C39" s="14">
        <v>2</v>
      </c>
      <c r="D39" s="14">
        <v>2</v>
      </c>
      <c r="E39" s="14">
        <v>3</v>
      </c>
      <c r="F39" s="14">
        <v>2</v>
      </c>
      <c r="G39" s="14">
        <v>2</v>
      </c>
      <c r="H39" s="14">
        <v>2</v>
      </c>
      <c r="I39" s="14">
        <v>3</v>
      </c>
      <c r="J39" s="14">
        <v>2</v>
      </c>
      <c r="K39" s="14">
        <v>3</v>
      </c>
      <c r="L39" s="14">
        <v>2</v>
      </c>
      <c r="M39" s="14">
        <v>2</v>
      </c>
      <c r="N39" s="14">
        <v>2</v>
      </c>
      <c r="O39" s="14">
        <v>2</v>
      </c>
      <c r="P39" s="14">
        <v>2</v>
      </c>
      <c r="Q39" s="14">
        <v>3</v>
      </c>
      <c r="R39" s="14">
        <v>3</v>
      </c>
    </row>
    <row r="40" spans="1:18" x14ac:dyDescent="0.35">
      <c r="A40" s="14" t="s">
        <v>154</v>
      </c>
      <c r="B40" s="14">
        <v>2</v>
      </c>
      <c r="C40" s="14">
        <v>2</v>
      </c>
      <c r="D40" s="14">
        <v>2</v>
      </c>
      <c r="E40" s="14">
        <v>2</v>
      </c>
      <c r="F40" s="14">
        <v>2</v>
      </c>
      <c r="G40" s="14">
        <v>2</v>
      </c>
      <c r="H40" s="14">
        <v>2</v>
      </c>
      <c r="I40" s="14">
        <v>2</v>
      </c>
      <c r="J40" s="14">
        <v>3</v>
      </c>
      <c r="K40" s="14">
        <v>2</v>
      </c>
      <c r="L40" s="14">
        <v>3</v>
      </c>
      <c r="M40" s="14">
        <v>2</v>
      </c>
      <c r="N40" s="14">
        <v>3</v>
      </c>
      <c r="O40" s="14">
        <v>2</v>
      </c>
      <c r="P40" s="14">
        <v>2</v>
      </c>
      <c r="Q40" s="14">
        <v>2</v>
      </c>
      <c r="R40" s="14">
        <v>3</v>
      </c>
    </row>
    <row r="41" spans="1:18" x14ac:dyDescent="0.35">
      <c r="A41" s="14" t="s">
        <v>157</v>
      </c>
      <c r="B41" s="14">
        <v>3</v>
      </c>
      <c r="C41" s="14">
        <v>3</v>
      </c>
      <c r="D41" s="14">
        <v>2</v>
      </c>
      <c r="E41" s="14">
        <v>3</v>
      </c>
      <c r="F41" s="14">
        <v>2</v>
      </c>
      <c r="G41" s="14">
        <v>3</v>
      </c>
      <c r="H41" s="14">
        <v>2</v>
      </c>
      <c r="I41" s="14">
        <v>3</v>
      </c>
      <c r="J41" s="14">
        <v>2</v>
      </c>
      <c r="K41" s="14">
        <v>2</v>
      </c>
      <c r="L41" s="14">
        <v>3</v>
      </c>
      <c r="M41" s="14">
        <v>2</v>
      </c>
      <c r="N41" s="14">
        <v>2</v>
      </c>
      <c r="O41" s="14">
        <v>2</v>
      </c>
      <c r="P41" s="14">
        <v>2</v>
      </c>
      <c r="Q41" s="14">
        <v>3</v>
      </c>
      <c r="R41" s="14">
        <v>2</v>
      </c>
    </row>
    <row r="42" spans="1:18" x14ac:dyDescent="0.35">
      <c r="A42" s="14" t="s">
        <v>160</v>
      </c>
      <c r="B42" s="14">
        <v>2</v>
      </c>
      <c r="C42" s="14">
        <v>2</v>
      </c>
      <c r="D42" s="14">
        <v>3</v>
      </c>
      <c r="E42" s="14">
        <v>2</v>
      </c>
      <c r="F42" s="14">
        <v>3</v>
      </c>
      <c r="G42" s="14">
        <v>3</v>
      </c>
      <c r="H42" s="14">
        <v>2</v>
      </c>
      <c r="I42" s="14">
        <v>2</v>
      </c>
      <c r="J42" s="14">
        <v>2</v>
      </c>
      <c r="K42" s="14">
        <v>2</v>
      </c>
      <c r="L42" s="14">
        <v>3</v>
      </c>
      <c r="M42" s="14">
        <v>3</v>
      </c>
      <c r="N42" s="14">
        <v>2</v>
      </c>
      <c r="O42" s="14">
        <v>3</v>
      </c>
      <c r="P42" s="14">
        <v>3</v>
      </c>
      <c r="Q42" s="14">
        <v>2</v>
      </c>
      <c r="R42" s="14">
        <v>2</v>
      </c>
    </row>
    <row r="43" spans="1:18" x14ac:dyDescent="0.35">
      <c r="A43" s="14" t="s">
        <v>163</v>
      </c>
      <c r="B43" s="14">
        <v>2</v>
      </c>
      <c r="C43" s="14">
        <v>2</v>
      </c>
      <c r="D43" s="14">
        <v>3</v>
      </c>
      <c r="E43" s="14">
        <v>2</v>
      </c>
      <c r="F43" s="14">
        <v>3</v>
      </c>
      <c r="G43" s="14">
        <v>2</v>
      </c>
      <c r="H43" s="14">
        <v>2</v>
      </c>
      <c r="I43" s="14">
        <v>2</v>
      </c>
      <c r="J43" s="14">
        <v>2</v>
      </c>
      <c r="K43" s="14">
        <v>2</v>
      </c>
      <c r="L43" s="14">
        <v>2</v>
      </c>
      <c r="M43" s="14">
        <v>3</v>
      </c>
      <c r="N43" s="14">
        <v>2</v>
      </c>
      <c r="O43" s="14">
        <v>3</v>
      </c>
      <c r="P43" s="14">
        <v>3</v>
      </c>
      <c r="Q43" s="14">
        <v>2</v>
      </c>
      <c r="R43" s="14">
        <v>2</v>
      </c>
    </row>
    <row r="44" spans="1:18" x14ac:dyDescent="0.35">
      <c r="A44" s="14" t="s">
        <v>166</v>
      </c>
      <c r="B44" s="14">
        <v>2</v>
      </c>
      <c r="C44" s="14">
        <v>2</v>
      </c>
      <c r="D44" s="14">
        <v>2</v>
      </c>
      <c r="E44" s="14">
        <v>2</v>
      </c>
      <c r="F44" s="14">
        <v>2</v>
      </c>
      <c r="G44" s="14">
        <v>2</v>
      </c>
      <c r="H44" s="14">
        <v>2</v>
      </c>
      <c r="I44" s="14">
        <v>2</v>
      </c>
      <c r="J44" s="14">
        <v>2</v>
      </c>
      <c r="K44" s="14">
        <v>2</v>
      </c>
      <c r="L44" s="14">
        <v>2</v>
      </c>
      <c r="M44" s="14">
        <v>2</v>
      </c>
      <c r="N44" s="14">
        <v>2</v>
      </c>
      <c r="O44" s="14">
        <v>2</v>
      </c>
      <c r="P44" s="14">
        <v>2</v>
      </c>
      <c r="Q44" s="14">
        <v>2</v>
      </c>
      <c r="R44" s="14">
        <v>2</v>
      </c>
    </row>
    <row r="45" spans="1:18" x14ac:dyDescent="0.35">
      <c r="A45" s="14" t="s">
        <v>169</v>
      </c>
      <c r="B45" s="14">
        <v>2</v>
      </c>
      <c r="C45" s="14">
        <v>2</v>
      </c>
      <c r="D45" s="14">
        <v>2</v>
      </c>
      <c r="E45" s="14">
        <v>2</v>
      </c>
      <c r="F45" s="14">
        <v>2</v>
      </c>
      <c r="G45" s="14">
        <v>3</v>
      </c>
      <c r="H45" s="14">
        <v>3</v>
      </c>
      <c r="I45" s="14">
        <v>2</v>
      </c>
      <c r="J45" s="14">
        <v>2</v>
      </c>
      <c r="K45" s="14">
        <v>2</v>
      </c>
      <c r="L45" s="14">
        <v>3</v>
      </c>
      <c r="M45" s="14">
        <v>2</v>
      </c>
      <c r="N45" s="14">
        <v>3</v>
      </c>
      <c r="O45" s="14">
        <v>2</v>
      </c>
      <c r="P45" s="14">
        <v>3</v>
      </c>
      <c r="Q45" s="14">
        <v>2</v>
      </c>
      <c r="R45" s="14">
        <v>2</v>
      </c>
    </row>
    <row r="46" spans="1:18" x14ac:dyDescent="0.35">
      <c r="A46" s="14" t="s">
        <v>172</v>
      </c>
      <c r="B46" s="14">
        <v>3</v>
      </c>
      <c r="C46" s="14">
        <v>3</v>
      </c>
      <c r="D46" s="14">
        <v>2</v>
      </c>
      <c r="E46" s="14">
        <v>2</v>
      </c>
      <c r="F46" s="14">
        <v>2</v>
      </c>
      <c r="G46" s="14">
        <v>2</v>
      </c>
      <c r="H46" s="14">
        <v>2</v>
      </c>
      <c r="I46" s="14">
        <v>3</v>
      </c>
      <c r="J46" s="14">
        <v>3</v>
      </c>
      <c r="K46" s="14">
        <v>2</v>
      </c>
      <c r="L46" s="14">
        <v>2</v>
      </c>
      <c r="M46" s="14">
        <v>2</v>
      </c>
      <c r="N46" s="14">
        <v>2</v>
      </c>
      <c r="O46" s="14">
        <v>2</v>
      </c>
      <c r="P46" s="14">
        <v>2</v>
      </c>
      <c r="Q46" s="14">
        <v>3</v>
      </c>
      <c r="R46" s="14">
        <v>2</v>
      </c>
    </row>
    <row r="47" spans="1:18" x14ac:dyDescent="0.35">
      <c r="A47" s="14" t="s">
        <v>175</v>
      </c>
      <c r="B47" s="14">
        <v>2</v>
      </c>
      <c r="C47" s="14">
        <v>2</v>
      </c>
      <c r="D47" s="14">
        <v>3</v>
      </c>
      <c r="E47" s="14">
        <v>3</v>
      </c>
      <c r="F47" s="14">
        <v>3</v>
      </c>
      <c r="G47" s="14">
        <v>2</v>
      </c>
      <c r="H47" s="14">
        <v>2</v>
      </c>
      <c r="I47" s="14">
        <v>2</v>
      </c>
      <c r="J47" s="14">
        <v>2</v>
      </c>
      <c r="K47" s="14">
        <v>3</v>
      </c>
      <c r="L47" s="14">
        <v>2</v>
      </c>
      <c r="M47" s="14">
        <v>3</v>
      </c>
      <c r="N47" s="14">
        <v>2</v>
      </c>
      <c r="O47" s="14">
        <v>3</v>
      </c>
      <c r="P47" s="14">
        <v>3</v>
      </c>
      <c r="Q47" s="14">
        <v>2</v>
      </c>
      <c r="R47" s="14">
        <v>3</v>
      </c>
    </row>
    <row r="48" spans="1:18" x14ac:dyDescent="0.35">
      <c r="A48" s="14" t="s">
        <v>178</v>
      </c>
      <c r="B48" s="14">
        <v>3</v>
      </c>
      <c r="C48" s="14">
        <v>2</v>
      </c>
      <c r="D48" s="14">
        <v>2</v>
      </c>
      <c r="E48" s="14">
        <v>2</v>
      </c>
      <c r="F48" s="14">
        <v>2</v>
      </c>
      <c r="G48" s="14">
        <v>3</v>
      </c>
      <c r="H48" s="14">
        <v>2</v>
      </c>
      <c r="I48" s="14">
        <v>3</v>
      </c>
      <c r="J48" s="14">
        <v>2</v>
      </c>
      <c r="K48" s="14">
        <v>2</v>
      </c>
      <c r="L48" s="14">
        <v>3</v>
      </c>
      <c r="M48" s="14">
        <v>2</v>
      </c>
      <c r="N48" s="14">
        <v>2</v>
      </c>
      <c r="O48" s="14">
        <v>2</v>
      </c>
      <c r="P48" s="14">
        <v>2</v>
      </c>
      <c r="Q48" s="14">
        <v>3</v>
      </c>
      <c r="R48" s="14">
        <v>2</v>
      </c>
    </row>
    <row r="49" spans="1:18" x14ac:dyDescent="0.35">
      <c r="A49" s="14" t="s">
        <v>181</v>
      </c>
      <c r="B49" s="14">
        <v>2</v>
      </c>
      <c r="C49" s="14">
        <v>2</v>
      </c>
      <c r="D49" s="14">
        <v>2</v>
      </c>
      <c r="E49" s="14">
        <v>2</v>
      </c>
      <c r="F49" s="14">
        <v>2</v>
      </c>
      <c r="G49" s="14">
        <v>2</v>
      </c>
      <c r="H49" s="14">
        <v>2</v>
      </c>
      <c r="I49" s="14">
        <v>2</v>
      </c>
      <c r="J49" s="14">
        <v>2</v>
      </c>
      <c r="K49" s="14">
        <v>2</v>
      </c>
      <c r="L49" s="14">
        <v>2</v>
      </c>
      <c r="M49" s="14">
        <v>2</v>
      </c>
      <c r="N49" s="14">
        <v>2</v>
      </c>
      <c r="O49" s="14">
        <v>2</v>
      </c>
      <c r="P49" s="14">
        <v>2</v>
      </c>
      <c r="Q49" s="14">
        <v>2</v>
      </c>
      <c r="R49" s="14">
        <v>2</v>
      </c>
    </row>
    <row r="50" spans="1:18" x14ac:dyDescent="0.35">
      <c r="A50" s="14" t="s">
        <v>227</v>
      </c>
      <c r="B50" s="14">
        <v>2</v>
      </c>
      <c r="C50" s="14">
        <v>1</v>
      </c>
      <c r="D50" s="14">
        <v>2</v>
      </c>
      <c r="E50" s="14">
        <v>2</v>
      </c>
      <c r="F50" s="14">
        <v>1</v>
      </c>
      <c r="G50" s="14">
        <v>2</v>
      </c>
      <c r="H50" s="14">
        <v>2</v>
      </c>
      <c r="I50" s="14">
        <v>2</v>
      </c>
      <c r="J50" s="14">
        <v>1</v>
      </c>
      <c r="K50" s="14">
        <v>2</v>
      </c>
      <c r="L50" s="14">
        <v>2</v>
      </c>
      <c r="M50" s="14">
        <v>2</v>
      </c>
      <c r="N50" s="14">
        <v>1</v>
      </c>
      <c r="O50" s="14">
        <v>2</v>
      </c>
      <c r="P50" s="14">
        <v>1</v>
      </c>
      <c r="Q50" s="14">
        <v>2</v>
      </c>
      <c r="R50" s="14">
        <v>1</v>
      </c>
    </row>
    <row r="51" spans="1:18" x14ac:dyDescent="0.35">
      <c r="A51" s="14" t="s">
        <v>224</v>
      </c>
      <c r="B51" s="14">
        <v>3</v>
      </c>
      <c r="C51" s="14">
        <v>2</v>
      </c>
      <c r="D51" s="14">
        <v>2</v>
      </c>
      <c r="E51" s="14">
        <v>2</v>
      </c>
      <c r="F51" s="14">
        <v>2</v>
      </c>
      <c r="G51" s="14">
        <v>2</v>
      </c>
      <c r="H51" s="14">
        <v>1</v>
      </c>
      <c r="I51" s="14">
        <v>3</v>
      </c>
      <c r="J51" s="14">
        <v>2</v>
      </c>
      <c r="K51" s="14">
        <v>2</v>
      </c>
      <c r="L51" s="14">
        <v>2</v>
      </c>
      <c r="M51" s="14">
        <v>2</v>
      </c>
      <c r="N51" s="14">
        <v>1</v>
      </c>
      <c r="O51" s="14">
        <v>2</v>
      </c>
      <c r="P51" s="14">
        <v>2</v>
      </c>
      <c r="Q51" s="14">
        <v>3</v>
      </c>
      <c r="R51" s="14">
        <v>2</v>
      </c>
    </row>
    <row r="52" spans="1:18" x14ac:dyDescent="0.35">
      <c r="A52" s="14" t="s">
        <v>248</v>
      </c>
      <c r="B52" s="14">
        <v>1</v>
      </c>
      <c r="C52" s="14">
        <v>2</v>
      </c>
      <c r="D52" s="14">
        <v>1</v>
      </c>
      <c r="E52" s="14">
        <v>2</v>
      </c>
      <c r="F52" s="14">
        <v>2</v>
      </c>
      <c r="G52" s="14">
        <v>1</v>
      </c>
      <c r="H52" s="14">
        <v>2</v>
      </c>
      <c r="I52" s="14">
        <v>2</v>
      </c>
      <c r="J52" s="14">
        <v>2</v>
      </c>
      <c r="K52" s="14">
        <v>1</v>
      </c>
      <c r="L52" s="14">
        <v>1</v>
      </c>
      <c r="M52" s="14">
        <v>2</v>
      </c>
      <c r="N52" s="14">
        <v>2</v>
      </c>
      <c r="O52" s="14">
        <v>1</v>
      </c>
      <c r="P52" s="14">
        <v>2</v>
      </c>
      <c r="Q52" s="14">
        <v>2</v>
      </c>
      <c r="R52" s="14">
        <v>1</v>
      </c>
    </row>
    <row r="53" spans="1:18" x14ac:dyDescent="0.35">
      <c r="A53" s="14" t="s">
        <v>226</v>
      </c>
      <c r="B53" s="14">
        <v>2</v>
      </c>
      <c r="C53" s="14">
        <v>3</v>
      </c>
      <c r="D53" s="14">
        <v>2</v>
      </c>
      <c r="E53" s="14">
        <v>2</v>
      </c>
      <c r="F53" s="14">
        <v>2</v>
      </c>
      <c r="G53" s="14">
        <v>2</v>
      </c>
      <c r="H53" s="14">
        <v>1</v>
      </c>
      <c r="I53" s="14">
        <v>2</v>
      </c>
      <c r="J53" s="14">
        <v>3</v>
      </c>
      <c r="K53" s="14">
        <v>2</v>
      </c>
      <c r="L53" s="14">
        <v>2</v>
      </c>
      <c r="M53" s="14">
        <v>2</v>
      </c>
      <c r="N53" s="14">
        <v>1</v>
      </c>
      <c r="O53" s="14">
        <v>2</v>
      </c>
      <c r="P53" s="14">
        <v>2</v>
      </c>
      <c r="Q53" s="14">
        <v>2</v>
      </c>
      <c r="R53" s="14">
        <v>2</v>
      </c>
    </row>
    <row r="54" spans="1:18" x14ac:dyDescent="0.35">
      <c r="A54" s="14" t="s">
        <v>225</v>
      </c>
      <c r="B54" s="14">
        <v>3</v>
      </c>
      <c r="C54" s="14">
        <v>2</v>
      </c>
      <c r="D54" s="14">
        <v>3</v>
      </c>
      <c r="E54" s="14">
        <v>2</v>
      </c>
      <c r="F54" s="14">
        <v>3</v>
      </c>
      <c r="G54" s="14">
        <v>2</v>
      </c>
      <c r="H54" s="14">
        <v>2</v>
      </c>
      <c r="I54" s="14">
        <v>3</v>
      </c>
      <c r="J54" s="14">
        <v>2</v>
      </c>
      <c r="K54" s="14">
        <v>2</v>
      </c>
      <c r="L54" s="14">
        <v>2</v>
      </c>
      <c r="M54" s="14">
        <v>3</v>
      </c>
      <c r="N54" s="14">
        <v>2</v>
      </c>
      <c r="O54" s="14">
        <v>3</v>
      </c>
      <c r="P54" s="14">
        <v>2</v>
      </c>
      <c r="Q54" s="14">
        <v>3</v>
      </c>
      <c r="R54" s="14">
        <v>2</v>
      </c>
    </row>
    <row r="56" spans="1:18" ht="15" thickBot="1" x14ac:dyDescent="0.4">
      <c r="A56" s="70" t="s">
        <v>76</v>
      </c>
      <c r="B56" s="70"/>
      <c r="C56" s="70"/>
      <c r="D56" s="70"/>
      <c r="E56" s="70"/>
      <c r="F56" s="70"/>
      <c r="G56" s="70"/>
      <c r="H56" s="70"/>
      <c r="I56" s="70"/>
      <c r="J56" s="70"/>
      <c r="K56" s="70"/>
      <c r="L56" s="70"/>
      <c r="M56" s="70"/>
      <c r="N56" s="70"/>
      <c r="O56" s="70"/>
      <c r="P56" s="70"/>
      <c r="Q56" s="70"/>
      <c r="R56" s="70"/>
    </row>
    <row r="57" spans="1:18" ht="16" thickBot="1" x14ac:dyDescent="0.4">
      <c r="A57" s="59" t="s">
        <v>47</v>
      </c>
      <c r="B57" s="47" t="s">
        <v>192</v>
      </c>
      <c r="C57" s="48" t="s">
        <v>193</v>
      </c>
      <c r="D57" s="48" t="s">
        <v>194</v>
      </c>
      <c r="E57" s="48" t="s">
        <v>195</v>
      </c>
      <c r="F57" s="48" t="s">
        <v>196</v>
      </c>
      <c r="G57" s="48" t="s">
        <v>197</v>
      </c>
      <c r="H57" s="48" t="s">
        <v>198</v>
      </c>
      <c r="I57" s="48" t="s">
        <v>199</v>
      </c>
      <c r="J57" s="48" t="s">
        <v>200</v>
      </c>
      <c r="K57" s="48" t="s">
        <v>201</v>
      </c>
      <c r="L57" s="48" t="s">
        <v>202</v>
      </c>
      <c r="M57" s="48" t="s">
        <v>203</v>
      </c>
      <c r="N57" s="48" t="s">
        <v>204</v>
      </c>
      <c r="O57" s="48" t="s">
        <v>205</v>
      </c>
      <c r="P57" s="48" t="s">
        <v>206</v>
      </c>
      <c r="Q57" s="48" t="s">
        <v>207</v>
      </c>
      <c r="R57" s="48" t="s">
        <v>208</v>
      </c>
    </row>
    <row r="58" spans="1:18" x14ac:dyDescent="0.35">
      <c r="A58" s="4" t="s">
        <v>49</v>
      </c>
      <c r="B58" s="14">
        <v>3</v>
      </c>
      <c r="C58" s="14">
        <v>2</v>
      </c>
      <c r="D58" s="14">
        <v>2</v>
      </c>
      <c r="E58" s="14">
        <v>2</v>
      </c>
      <c r="F58" s="14">
        <v>2</v>
      </c>
      <c r="G58" s="14">
        <v>3</v>
      </c>
      <c r="H58" s="14">
        <v>2</v>
      </c>
      <c r="I58" s="14">
        <v>3</v>
      </c>
      <c r="J58" s="14">
        <v>2</v>
      </c>
      <c r="K58" s="14">
        <v>3</v>
      </c>
      <c r="L58" s="14">
        <v>3</v>
      </c>
      <c r="M58" s="14">
        <v>2</v>
      </c>
      <c r="N58" s="14">
        <v>2</v>
      </c>
      <c r="O58" s="14">
        <v>2</v>
      </c>
      <c r="P58" s="14">
        <v>2</v>
      </c>
      <c r="Q58" s="14">
        <v>3</v>
      </c>
      <c r="R58" s="14">
        <v>2</v>
      </c>
    </row>
    <row r="59" spans="1:18" x14ac:dyDescent="0.35">
      <c r="A59" s="4" t="s">
        <v>53</v>
      </c>
      <c r="B59" s="14">
        <v>3</v>
      </c>
      <c r="C59" s="14">
        <v>2</v>
      </c>
      <c r="D59" s="14">
        <v>3</v>
      </c>
      <c r="E59" s="14">
        <v>2</v>
      </c>
      <c r="F59" s="14">
        <v>3</v>
      </c>
      <c r="G59" s="14">
        <v>2</v>
      </c>
      <c r="H59" s="14">
        <v>2</v>
      </c>
      <c r="I59" s="14">
        <v>3</v>
      </c>
      <c r="J59" s="14">
        <v>2</v>
      </c>
      <c r="K59" s="14">
        <v>2</v>
      </c>
      <c r="L59" s="14">
        <v>2</v>
      </c>
      <c r="M59" s="14">
        <v>3</v>
      </c>
      <c r="N59" s="14">
        <v>2</v>
      </c>
      <c r="O59" s="14">
        <v>3</v>
      </c>
      <c r="P59" s="14">
        <v>3</v>
      </c>
      <c r="Q59" s="14">
        <v>3</v>
      </c>
      <c r="R59" s="14">
        <v>2</v>
      </c>
    </row>
    <row r="60" spans="1:18" x14ac:dyDescent="0.35">
      <c r="A60" s="4" t="s">
        <v>58</v>
      </c>
      <c r="B60" s="14">
        <v>2</v>
      </c>
      <c r="C60" s="14">
        <v>3</v>
      </c>
      <c r="D60" s="14">
        <v>3</v>
      </c>
      <c r="E60" s="14">
        <v>2</v>
      </c>
      <c r="F60" s="14">
        <v>3</v>
      </c>
      <c r="G60" s="14">
        <v>2</v>
      </c>
      <c r="H60" s="14">
        <v>3</v>
      </c>
      <c r="I60" s="14">
        <v>3</v>
      </c>
      <c r="J60" s="14">
        <v>2</v>
      </c>
      <c r="K60" s="14">
        <v>3</v>
      </c>
      <c r="L60" s="14">
        <v>2</v>
      </c>
      <c r="M60" s="14">
        <v>3</v>
      </c>
      <c r="N60" s="14">
        <v>2</v>
      </c>
      <c r="O60" s="14">
        <v>3</v>
      </c>
      <c r="P60" s="14">
        <v>3</v>
      </c>
      <c r="Q60" s="14">
        <v>2</v>
      </c>
      <c r="R60" s="14">
        <v>3</v>
      </c>
    </row>
    <row r="61" spans="1:18" x14ac:dyDescent="0.35">
      <c r="A61" s="4" t="s">
        <v>59</v>
      </c>
      <c r="B61" s="14">
        <v>3</v>
      </c>
      <c r="C61" s="14">
        <v>2</v>
      </c>
      <c r="D61" s="14">
        <v>3</v>
      </c>
      <c r="E61" s="14">
        <v>2</v>
      </c>
      <c r="F61" s="14">
        <v>3</v>
      </c>
      <c r="G61" s="14">
        <v>2</v>
      </c>
      <c r="H61" s="14">
        <v>2</v>
      </c>
      <c r="I61" s="14">
        <v>2</v>
      </c>
      <c r="J61" s="14">
        <v>3</v>
      </c>
      <c r="K61" s="14">
        <v>2</v>
      </c>
      <c r="L61" s="14">
        <v>3</v>
      </c>
      <c r="M61" s="14">
        <v>2</v>
      </c>
      <c r="N61" s="14">
        <v>2</v>
      </c>
      <c r="O61" s="14">
        <v>2</v>
      </c>
      <c r="P61" s="14">
        <v>2</v>
      </c>
      <c r="Q61" s="14">
        <v>3</v>
      </c>
      <c r="R61" s="14">
        <v>2</v>
      </c>
    </row>
    <row r="62" spans="1:18" x14ac:dyDescent="0.35">
      <c r="A62" s="4" t="s">
        <v>88</v>
      </c>
      <c r="B62" s="14">
        <v>2</v>
      </c>
      <c r="C62" s="14">
        <v>2</v>
      </c>
      <c r="D62" s="14">
        <v>2</v>
      </c>
      <c r="E62" s="14">
        <v>3</v>
      </c>
      <c r="F62" s="14">
        <v>2</v>
      </c>
      <c r="G62" s="14">
        <v>2</v>
      </c>
      <c r="H62" s="14">
        <v>2</v>
      </c>
      <c r="I62" s="14">
        <v>2</v>
      </c>
      <c r="J62" s="14">
        <v>2</v>
      </c>
      <c r="K62" s="14">
        <v>3</v>
      </c>
      <c r="L62" s="14">
        <v>2</v>
      </c>
      <c r="M62" s="14">
        <v>2</v>
      </c>
      <c r="N62" s="14">
        <v>2</v>
      </c>
      <c r="O62" s="14">
        <v>2</v>
      </c>
      <c r="P62" s="14">
        <v>2</v>
      </c>
      <c r="Q62" s="14">
        <v>2</v>
      </c>
      <c r="R62" s="14">
        <v>3</v>
      </c>
    </row>
    <row r="63" spans="1:18" x14ac:dyDescent="0.35">
      <c r="A63" s="4" t="s">
        <v>184</v>
      </c>
      <c r="B63" s="14">
        <v>2</v>
      </c>
      <c r="C63" s="14">
        <v>2</v>
      </c>
      <c r="D63" s="14">
        <v>3</v>
      </c>
      <c r="E63" s="14">
        <v>2</v>
      </c>
      <c r="F63" s="14">
        <v>3</v>
      </c>
      <c r="G63" s="14">
        <v>2</v>
      </c>
      <c r="H63" s="14">
        <v>2</v>
      </c>
      <c r="I63" s="14">
        <v>2</v>
      </c>
      <c r="J63" s="14">
        <v>2</v>
      </c>
      <c r="K63" s="14">
        <v>2</v>
      </c>
      <c r="L63" s="14">
        <v>3</v>
      </c>
      <c r="M63" s="14">
        <v>3</v>
      </c>
      <c r="N63" s="14">
        <v>2</v>
      </c>
      <c r="O63" s="14">
        <v>3</v>
      </c>
      <c r="P63" s="14">
        <v>3</v>
      </c>
      <c r="Q63" s="14">
        <v>2</v>
      </c>
      <c r="R63" s="14">
        <v>2</v>
      </c>
    </row>
    <row r="64" spans="1:18" x14ac:dyDescent="0.35">
      <c r="A64" s="4" t="s">
        <v>185</v>
      </c>
      <c r="B64" s="14">
        <v>3</v>
      </c>
      <c r="C64" s="14">
        <v>2</v>
      </c>
      <c r="D64" s="14">
        <v>3</v>
      </c>
      <c r="E64" s="14">
        <v>2</v>
      </c>
      <c r="F64" s="14">
        <v>3</v>
      </c>
      <c r="G64" s="14">
        <v>2</v>
      </c>
      <c r="H64" s="14">
        <v>3</v>
      </c>
      <c r="I64" s="14">
        <v>2</v>
      </c>
      <c r="J64" s="14">
        <v>3</v>
      </c>
      <c r="K64" s="14">
        <v>2</v>
      </c>
      <c r="L64" s="14">
        <v>2</v>
      </c>
      <c r="M64" s="14">
        <v>2</v>
      </c>
      <c r="N64" s="14">
        <v>2</v>
      </c>
      <c r="O64" s="14">
        <v>2</v>
      </c>
      <c r="P64" s="14">
        <v>3</v>
      </c>
      <c r="Q64" s="14">
        <v>2</v>
      </c>
      <c r="R64" s="14">
        <v>2</v>
      </c>
    </row>
    <row r="66" spans="1:22" x14ac:dyDescent="0.35">
      <c r="A66" s="70" t="s">
        <v>251</v>
      </c>
      <c r="B66" s="70"/>
      <c r="C66" s="70"/>
      <c r="D66" s="70"/>
      <c r="E66" s="70"/>
      <c r="F66" s="70"/>
      <c r="G66" s="70"/>
      <c r="H66" s="70"/>
      <c r="I66" s="70"/>
      <c r="J66" s="70"/>
      <c r="K66" s="70"/>
      <c r="L66" s="70"/>
      <c r="M66" s="70"/>
      <c r="S66" s="42" t="s">
        <v>186</v>
      </c>
      <c r="T66" s="42" t="s">
        <v>187</v>
      </c>
      <c r="U66" s="42" t="s">
        <v>188</v>
      </c>
    </row>
    <row r="67" spans="1:22" x14ac:dyDescent="0.35">
      <c r="A67" s="43" t="s">
        <v>236</v>
      </c>
      <c r="B67" s="59" t="s">
        <v>106</v>
      </c>
      <c r="C67" s="45" t="s">
        <v>49</v>
      </c>
      <c r="D67" s="45" t="s">
        <v>53</v>
      </c>
      <c r="E67" s="45" t="s">
        <v>58</v>
      </c>
      <c r="F67" s="45" t="s">
        <v>59</v>
      </c>
      <c r="G67" s="45" t="s">
        <v>88</v>
      </c>
      <c r="H67" s="45" t="s">
        <v>184</v>
      </c>
      <c r="I67" s="45" t="s">
        <v>185</v>
      </c>
      <c r="J67" s="42" t="s">
        <v>86</v>
      </c>
      <c r="K67" s="42" t="s">
        <v>87</v>
      </c>
      <c r="L67" s="42" t="s">
        <v>104</v>
      </c>
      <c r="M67" s="42" t="s">
        <v>191</v>
      </c>
      <c r="S67" s="103" t="s">
        <v>49</v>
      </c>
      <c r="T67" s="103">
        <v>6</v>
      </c>
      <c r="U67" s="4" t="s">
        <v>130</v>
      </c>
      <c r="V67" s="107">
        <v>6</v>
      </c>
    </row>
    <row r="68" spans="1:22" x14ac:dyDescent="0.35">
      <c r="A68" s="4">
        <v>1</v>
      </c>
      <c r="B68" s="14" t="s">
        <v>130</v>
      </c>
      <c r="C68" s="4">
        <f>SQRT(SUMXMY2(B30:R30, $B$58:$R$58))</f>
        <v>0</v>
      </c>
      <c r="D68" s="4">
        <f>SQRT(SUMXMY2(B30:R30, $B$59:$R$59))</f>
        <v>2.8284271247461903</v>
      </c>
      <c r="E68" s="4">
        <f>SQRT(SUMXMY2(B30:R30, $B$60:$R$60))</f>
        <v>3.4641016151377544</v>
      </c>
      <c r="F68" s="4">
        <f>SQRT(SUMXMY2(B30:R30, $B$61:$R$61))</f>
        <v>2.4494897427831779</v>
      </c>
      <c r="G68" s="4">
        <f>SQRT(SUMXMY2(B30:R30, $B$62:$R$62))</f>
        <v>2.6457513110645907</v>
      </c>
      <c r="H68" s="4">
        <f>SQRT(SUMXMY2(B30:R30, $B$63:$R$63))</f>
        <v>3.1622776601683795</v>
      </c>
      <c r="I68" s="4">
        <f>SQRT(SUMXMY2(B30:R30, $B$64:$R$64))</f>
        <v>3.1622776601683795</v>
      </c>
      <c r="J68" s="4">
        <f>MIN(C68:I68)</f>
        <v>0</v>
      </c>
      <c r="K68" s="4" t="str">
        <f>"C"&amp;MATCH(J68,C68:I68,0)</f>
        <v>C1</v>
      </c>
      <c r="L68" s="14">
        <f>J68^2</f>
        <v>0</v>
      </c>
      <c r="M68" s="14">
        <f>SUM(L68:L92)</f>
        <v>82</v>
      </c>
      <c r="S68" s="104"/>
      <c r="T68" s="104"/>
      <c r="U68" s="4" t="s">
        <v>157</v>
      </c>
      <c r="V68" s="107"/>
    </row>
    <row r="69" spans="1:22" x14ac:dyDescent="0.35">
      <c r="A69" s="4">
        <v>2</v>
      </c>
      <c r="B69" s="14" t="s">
        <v>134</v>
      </c>
      <c r="C69" s="4">
        <f>SQRT(SUMXMY2(B31:R31, $B$58:$R$58))</f>
        <v>2.8284271247461903</v>
      </c>
      <c r="D69" s="4">
        <f t="shared" ref="D69:D92" si="0">SQRT(SUMXMY2(B31:R31, $B$59:$R$59))</f>
        <v>0</v>
      </c>
      <c r="E69" s="4">
        <f t="shared" ref="E69:E92" si="1">SQRT(SUMXMY2(B31:R31, $B$60:$R$60))</f>
        <v>2.4494897427831779</v>
      </c>
      <c r="F69" s="4">
        <f t="shared" ref="F69:F92" si="2">SQRT(SUMXMY2(B31:R31, $B$61:$R$61))</f>
        <v>2.4494897427831779</v>
      </c>
      <c r="G69" s="4">
        <f t="shared" ref="G69:G92" si="3">SQRT(SUMXMY2(B31:R31, $B$62:$R$62))</f>
        <v>3.3166247903553998</v>
      </c>
      <c r="H69" s="4">
        <f t="shared" ref="H69:H92" si="4">SQRT(SUMXMY2(B31:R31, $B$63:$R$63))</f>
        <v>2</v>
      </c>
      <c r="I69" s="4">
        <f t="shared" ref="I69:I92" si="5">SQRT(SUMXMY2(B31:R31, $B$64:$R$64))</f>
        <v>2.4494897427831779</v>
      </c>
      <c r="J69" s="4">
        <f t="shared" ref="J69:J92" si="6">MIN(C69:I69)</f>
        <v>0</v>
      </c>
      <c r="K69" s="4" t="str">
        <f t="shared" ref="K69:K92" si="7">"C"&amp;MATCH(J69,C69:I69,0)</f>
        <v>C2</v>
      </c>
      <c r="L69" s="14">
        <f t="shared" ref="L69:L92" si="8">J69^2</f>
        <v>0</v>
      </c>
      <c r="S69" s="104"/>
      <c r="T69" s="104"/>
      <c r="U69" s="4" t="s">
        <v>172</v>
      </c>
      <c r="V69" s="107"/>
    </row>
    <row r="70" spans="1:22" x14ac:dyDescent="0.35">
      <c r="A70" s="4">
        <v>3</v>
      </c>
      <c r="B70" s="14" t="s">
        <v>241</v>
      </c>
      <c r="C70" s="4">
        <f t="shared" ref="C70:C92" si="9">SQRT(SUMXMY2(B32:R32, $B$58:$R$58))</f>
        <v>3.4641016151377544</v>
      </c>
      <c r="D70" s="4">
        <f t="shared" si="0"/>
        <v>2.4494897427831779</v>
      </c>
      <c r="E70" s="4">
        <f t="shared" si="1"/>
        <v>0</v>
      </c>
      <c r="F70" s="4">
        <f t="shared" si="2"/>
        <v>3.4641016151377544</v>
      </c>
      <c r="G70" s="4">
        <f t="shared" si="3"/>
        <v>3</v>
      </c>
      <c r="H70" s="4">
        <f t="shared" si="4"/>
        <v>2.4494897427831779</v>
      </c>
      <c r="I70" s="4">
        <f t="shared" si="5"/>
        <v>2.8284271247461903</v>
      </c>
      <c r="J70" s="4">
        <f t="shared" si="6"/>
        <v>0</v>
      </c>
      <c r="K70" s="4" t="str">
        <f t="shared" si="7"/>
        <v>C3</v>
      </c>
      <c r="L70" s="14">
        <f t="shared" si="8"/>
        <v>0</v>
      </c>
      <c r="S70" s="104"/>
      <c r="T70" s="104"/>
      <c r="U70" s="4" t="s">
        <v>178</v>
      </c>
      <c r="V70" s="107"/>
    </row>
    <row r="71" spans="1:22" x14ac:dyDescent="0.35">
      <c r="A71" s="4">
        <v>4</v>
      </c>
      <c r="B71" s="14" t="s">
        <v>244</v>
      </c>
      <c r="C71" s="4">
        <f t="shared" si="9"/>
        <v>2.4494897427831779</v>
      </c>
      <c r="D71" s="4">
        <f t="shared" si="0"/>
        <v>2.4494897427831779</v>
      </c>
      <c r="E71" s="4">
        <f t="shared" si="1"/>
        <v>3.4641016151377544</v>
      </c>
      <c r="F71" s="4">
        <f t="shared" si="2"/>
        <v>0</v>
      </c>
      <c r="G71" s="4">
        <f t="shared" si="3"/>
        <v>3</v>
      </c>
      <c r="H71" s="4">
        <f t="shared" si="4"/>
        <v>2.4494897427831779</v>
      </c>
      <c r="I71" s="4">
        <f t="shared" si="5"/>
        <v>2</v>
      </c>
      <c r="J71" s="4">
        <f t="shared" si="6"/>
        <v>0</v>
      </c>
      <c r="K71" s="4" t="str">
        <f t="shared" si="7"/>
        <v>C4</v>
      </c>
      <c r="L71" s="14">
        <f t="shared" si="8"/>
        <v>0</v>
      </c>
      <c r="S71" s="104"/>
      <c r="T71" s="104"/>
      <c r="U71" s="4" t="s">
        <v>224</v>
      </c>
      <c r="V71" s="107"/>
    </row>
    <row r="72" spans="1:22" x14ac:dyDescent="0.35">
      <c r="A72" s="4">
        <v>5</v>
      </c>
      <c r="B72" s="14" t="s">
        <v>137</v>
      </c>
      <c r="C72" s="4">
        <f t="shared" si="9"/>
        <v>2.6457513110645907</v>
      </c>
      <c r="D72" s="4">
        <f t="shared" si="0"/>
        <v>3.3166247903553998</v>
      </c>
      <c r="E72" s="4">
        <f t="shared" si="1"/>
        <v>3</v>
      </c>
      <c r="F72" s="4">
        <f t="shared" si="2"/>
        <v>3</v>
      </c>
      <c r="G72" s="4">
        <f t="shared" si="3"/>
        <v>0</v>
      </c>
      <c r="H72" s="4">
        <f t="shared" si="4"/>
        <v>3</v>
      </c>
      <c r="I72" s="4">
        <f t="shared" si="5"/>
        <v>3</v>
      </c>
      <c r="J72" s="4">
        <f t="shared" si="6"/>
        <v>0</v>
      </c>
      <c r="K72" s="4" t="str">
        <f t="shared" si="7"/>
        <v>C5</v>
      </c>
      <c r="L72" s="14">
        <f t="shared" si="8"/>
        <v>0</v>
      </c>
      <c r="S72" s="105"/>
      <c r="T72" s="105"/>
      <c r="U72" s="41" t="s">
        <v>169</v>
      </c>
      <c r="V72" s="107"/>
    </row>
    <row r="73" spans="1:22" x14ac:dyDescent="0.35">
      <c r="A73" s="4">
        <v>6</v>
      </c>
      <c r="B73" s="14" t="s">
        <v>140</v>
      </c>
      <c r="C73" s="4">
        <f t="shared" si="9"/>
        <v>3.1622776601683795</v>
      </c>
      <c r="D73" s="4">
        <f t="shared" si="0"/>
        <v>2</v>
      </c>
      <c r="E73" s="4">
        <f t="shared" si="1"/>
        <v>2.4494897427831779</v>
      </c>
      <c r="F73" s="4">
        <f t="shared" si="2"/>
        <v>2.4494897427831779</v>
      </c>
      <c r="G73" s="4">
        <f t="shared" si="3"/>
        <v>3</v>
      </c>
      <c r="H73" s="4">
        <f t="shared" si="4"/>
        <v>0</v>
      </c>
      <c r="I73" s="4">
        <f t="shared" si="5"/>
        <v>2.4494897427831779</v>
      </c>
      <c r="J73" s="4">
        <f t="shared" si="6"/>
        <v>0</v>
      </c>
      <c r="K73" s="4" t="str">
        <f t="shared" si="7"/>
        <v>C6</v>
      </c>
      <c r="L73" s="14">
        <f t="shared" si="8"/>
        <v>0</v>
      </c>
      <c r="S73" s="72" t="s">
        <v>53</v>
      </c>
      <c r="T73" s="72">
        <v>2</v>
      </c>
      <c r="U73" s="41" t="s">
        <v>134</v>
      </c>
    </row>
    <row r="74" spans="1:22" x14ac:dyDescent="0.35">
      <c r="A74" s="4">
        <v>7</v>
      </c>
      <c r="B74" s="14" t="s">
        <v>143</v>
      </c>
      <c r="C74" s="4">
        <f t="shared" si="9"/>
        <v>3.1622776601683795</v>
      </c>
      <c r="D74" s="4">
        <f t="shared" si="0"/>
        <v>2.4494897427831779</v>
      </c>
      <c r="E74" s="4">
        <f t="shared" si="1"/>
        <v>2.8284271247461903</v>
      </c>
      <c r="F74" s="4">
        <f t="shared" si="2"/>
        <v>2</v>
      </c>
      <c r="G74" s="4">
        <f t="shared" si="3"/>
        <v>3</v>
      </c>
      <c r="H74" s="4">
        <f t="shared" si="4"/>
        <v>2.4494897427831779</v>
      </c>
      <c r="I74" s="4">
        <f t="shared" si="5"/>
        <v>0</v>
      </c>
      <c r="J74" s="4">
        <f t="shared" si="6"/>
        <v>0</v>
      </c>
      <c r="K74" s="4" t="str">
        <f t="shared" si="7"/>
        <v>C7</v>
      </c>
      <c r="L74" s="14">
        <f t="shared" si="8"/>
        <v>0</v>
      </c>
      <c r="S74" s="72"/>
      <c r="T74" s="72"/>
      <c r="U74" s="41" t="s">
        <v>225</v>
      </c>
    </row>
    <row r="75" spans="1:22" x14ac:dyDescent="0.35">
      <c r="A75" s="4">
        <v>8</v>
      </c>
      <c r="B75" s="14" t="s">
        <v>146</v>
      </c>
      <c r="C75" s="4">
        <f t="shared" si="9"/>
        <v>2.8284271247461903</v>
      </c>
      <c r="D75" s="4">
        <f t="shared" si="0"/>
        <v>2.8284271247461903</v>
      </c>
      <c r="E75" s="4">
        <f t="shared" si="1"/>
        <v>2.8284271247461903</v>
      </c>
      <c r="F75" s="4">
        <f t="shared" si="2"/>
        <v>2.8284271247461903</v>
      </c>
      <c r="G75" s="4">
        <f t="shared" si="3"/>
        <v>2.2360679774997898</v>
      </c>
      <c r="H75" s="4">
        <f t="shared" si="4"/>
        <v>2.4494897427831779</v>
      </c>
      <c r="I75" s="4">
        <f t="shared" si="5"/>
        <v>2.4494897427831779</v>
      </c>
      <c r="J75" s="4">
        <f t="shared" si="6"/>
        <v>2.2360679774997898</v>
      </c>
      <c r="K75" s="4" t="str">
        <f t="shared" si="7"/>
        <v>C5</v>
      </c>
      <c r="L75" s="14">
        <f t="shared" si="8"/>
        <v>5.0000000000000009</v>
      </c>
      <c r="S75" s="72" t="s">
        <v>58</v>
      </c>
      <c r="T75" s="72">
        <v>2</v>
      </c>
      <c r="U75" s="41" t="s">
        <v>241</v>
      </c>
    </row>
    <row r="76" spans="1:22" x14ac:dyDescent="0.35">
      <c r="A76" s="4">
        <v>9</v>
      </c>
      <c r="B76" s="14" t="s">
        <v>149</v>
      </c>
      <c r="C76" s="4">
        <f t="shared" si="9"/>
        <v>3.6055512754639891</v>
      </c>
      <c r="D76" s="4">
        <f t="shared" si="0"/>
        <v>2.2360679774997898</v>
      </c>
      <c r="E76" s="4">
        <f t="shared" si="1"/>
        <v>2.2360679774997898</v>
      </c>
      <c r="F76" s="4">
        <f t="shared" si="2"/>
        <v>2.6457513110645907</v>
      </c>
      <c r="G76" s="4">
        <f t="shared" si="3"/>
        <v>3.1622776601683795</v>
      </c>
      <c r="H76" s="4">
        <f t="shared" si="4"/>
        <v>1.7320508075688772</v>
      </c>
      <c r="I76" s="4">
        <f t="shared" si="5"/>
        <v>2.2360679774997898</v>
      </c>
      <c r="J76" s="4">
        <f t="shared" si="6"/>
        <v>1.7320508075688772</v>
      </c>
      <c r="K76" s="4" t="str">
        <f t="shared" si="7"/>
        <v>C6</v>
      </c>
      <c r="L76" s="14">
        <f t="shared" si="8"/>
        <v>2.9999999999999996</v>
      </c>
      <c r="S76" s="72"/>
      <c r="T76" s="72"/>
      <c r="U76" s="41" t="s">
        <v>175</v>
      </c>
    </row>
    <row r="77" spans="1:22" x14ac:dyDescent="0.35">
      <c r="A77" s="43">
        <v>10</v>
      </c>
      <c r="B77" s="61" t="s">
        <v>151</v>
      </c>
      <c r="C77" s="43">
        <f t="shared" si="9"/>
        <v>2</v>
      </c>
      <c r="D77" s="43">
        <f t="shared" si="0"/>
        <v>2.8284271247461903</v>
      </c>
      <c r="E77" s="43">
        <f t="shared" si="1"/>
        <v>3.1622776601683795</v>
      </c>
      <c r="F77" s="43">
        <f t="shared" si="2"/>
        <v>2.8284271247461903</v>
      </c>
      <c r="G77" s="43">
        <f t="shared" si="3"/>
        <v>1.7320508075688772</v>
      </c>
      <c r="H77" s="43">
        <f t="shared" si="4"/>
        <v>3.4641016151377544</v>
      </c>
      <c r="I77" s="43">
        <f t="shared" si="5"/>
        <v>3.1622776601683795</v>
      </c>
      <c r="J77" s="43">
        <f t="shared" si="6"/>
        <v>1.7320508075688772</v>
      </c>
      <c r="K77" s="43" t="str">
        <f t="shared" si="7"/>
        <v>C5</v>
      </c>
      <c r="L77" s="14">
        <f t="shared" si="8"/>
        <v>2.9999999999999996</v>
      </c>
      <c r="S77" s="41" t="s">
        <v>59</v>
      </c>
      <c r="T77" s="41">
        <v>1</v>
      </c>
      <c r="U77" s="41" t="s">
        <v>244</v>
      </c>
    </row>
    <row r="78" spans="1:22" x14ac:dyDescent="0.35">
      <c r="A78" s="4">
        <v>11</v>
      </c>
      <c r="B78" s="14" t="s">
        <v>154</v>
      </c>
      <c r="C78" s="4">
        <f t="shared" si="9"/>
        <v>2.8284271247461903</v>
      </c>
      <c r="D78" s="4">
        <f t="shared" si="0"/>
        <v>3.4641016151377544</v>
      </c>
      <c r="E78" s="4">
        <f t="shared" si="1"/>
        <v>3.4641016151377544</v>
      </c>
      <c r="F78" s="4">
        <f t="shared" si="2"/>
        <v>2.4494897427831779</v>
      </c>
      <c r="G78" s="4">
        <f t="shared" si="3"/>
        <v>2.2360679774997898</v>
      </c>
      <c r="H78" s="4">
        <f t="shared" si="4"/>
        <v>2.8284271247461903</v>
      </c>
      <c r="I78" s="4">
        <f t="shared" si="5"/>
        <v>2.8284271247461903</v>
      </c>
      <c r="J78" s="4">
        <f t="shared" si="6"/>
        <v>2.2360679774997898</v>
      </c>
      <c r="K78" s="4" t="str">
        <f t="shared" si="7"/>
        <v>C5</v>
      </c>
      <c r="L78" s="14">
        <f t="shared" si="8"/>
        <v>5.0000000000000009</v>
      </c>
      <c r="S78" s="72" t="s">
        <v>88</v>
      </c>
      <c r="T78" s="72">
        <v>9</v>
      </c>
      <c r="U78" s="41" t="s">
        <v>146</v>
      </c>
    </row>
    <row r="79" spans="1:22" x14ac:dyDescent="0.35">
      <c r="A79" s="4">
        <v>12</v>
      </c>
      <c r="B79" s="14" t="s">
        <v>157</v>
      </c>
      <c r="C79" s="4">
        <f t="shared" si="9"/>
        <v>1.7320508075688772</v>
      </c>
      <c r="D79" s="4">
        <f t="shared" si="0"/>
        <v>3</v>
      </c>
      <c r="E79" s="4">
        <f t="shared" si="1"/>
        <v>3.6055512754639891</v>
      </c>
      <c r="F79" s="4">
        <f t="shared" si="2"/>
        <v>2.6457513110645907</v>
      </c>
      <c r="G79" s="4">
        <f t="shared" si="3"/>
        <v>2.8284271247461903</v>
      </c>
      <c r="H79" s="4">
        <f t="shared" si="4"/>
        <v>3.3166247903553998</v>
      </c>
      <c r="I79" s="4">
        <f t="shared" si="5"/>
        <v>3.3166247903553998</v>
      </c>
      <c r="J79" s="4">
        <f t="shared" si="6"/>
        <v>1.7320508075688772</v>
      </c>
      <c r="K79" s="4" t="str">
        <f t="shared" si="7"/>
        <v>C1</v>
      </c>
      <c r="L79" s="14">
        <f t="shared" si="8"/>
        <v>2.9999999999999996</v>
      </c>
      <c r="S79" s="72"/>
      <c r="T79" s="72"/>
      <c r="U79" s="41" t="s">
        <v>151</v>
      </c>
    </row>
    <row r="80" spans="1:22" x14ac:dyDescent="0.35">
      <c r="A80" s="4">
        <v>13</v>
      </c>
      <c r="B80" s="14" t="s">
        <v>160</v>
      </c>
      <c r="C80" s="4">
        <f t="shared" si="9"/>
        <v>3</v>
      </c>
      <c r="D80" s="4">
        <f t="shared" si="0"/>
        <v>2.2360679774997898</v>
      </c>
      <c r="E80" s="4">
        <f t="shared" si="1"/>
        <v>2.6457513110645907</v>
      </c>
      <c r="F80" s="4">
        <f t="shared" si="2"/>
        <v>2.6457513110645907</v>
      </c>
      <c r="G80" s="4">
        <f t="shared" si="3"/>
        <v>3.1622776601683795</v>
      </c>
      <c r="H80" s="4">
        <f t="shared" si="4"/>
        <v>1</v>
      </c>
      <c r="I80" s="4">
        <f t="shared" si="5"/>
        <v>2.6457513110645907</v>
      </c>
      <c r="J80" s="4">
        <f t="shared" si="6"/>
        <v>1</v>
      </c>
      <c r="K80" s="4" t="str">
        <f t="shared" si="7"/>
        <v>C6</v>
      </c>
      <c r="L80" s="14">
        <f t="shared" si="8"/>
        <v>1</v>
      </c>
      <c r="S80" s="72"/>
      <c r="T80" s="72"/>
      <c r="U80" s="41" t="s">
        <v>137</v>
      </c>
    </row>
    <row r="81" spans="1:21" x14ac:dyDescent="0.35">
      <c r="A81" s="4">
        <v>14</v>
      </c>
      <c r="B81" s="14" t="s">
        <v>163</v>
      </c>
      <c r="C81" s="4">
        <f t="shared" si="9"/>
        <v>3.3166247903553998</v>
      </c>
      <c r="D81" s="4">
        <f t="shared" si="0"/>
        <v>1.7320508075688772</v>
      </c>
      <c r="E81" s="4">
        <f t="shared" si="1"/>
        <v>2.2360679774997898</v>
      </c>
      <c r="F81" s="4">
        <f t="shared" si="2"/>
        <v>2.6457513110645907</v>
      </c>
      <c r="G81" s="4">
        <f t="shared" si="3"/>
        <v>2.8284271247461903</v>
      </c>
      <c r="H81" s="4">
        <f t="shared" si="4"/>
        <v>1</v>
      </c>
      <c r="I81" s="4">
        <f t="shared" si="5"/>
        <v>2.2360679774997898</v>
      </c>
      <c r="J81" s="4">
        <f t="shared" si="6"/>
        <v>1</v>
      </c>
      <c r="K81" s="4" t="str">
        <f t="shared" si="7"/>
        <v>C6</v>
      </c>
      <c r="L81" s="14">
        <f t="shared" si="8"/>
        <v>1</v>
      </c>
      <c r="S81" s="72"/>
      <c r="T81" s="72"/>
      <c r="U81" s="41" t="s">
        <v>154</v>
      </c>
    </row>
    <row r="82" spans="1:21" x14ac:dyDescent="0.35">
      <c r="A82" s="4">
        <v>15</v>
      </c>
      <c r="B82" s="14" t="s">
        <v>166</v>
      </c>
      <c r="C82" s="4">
        <f t="shared" si="9"/>
        <v>2.4494897427831779</v>
      </c>
      <c r="D82" s="4">
        <f t="shared" si="0"/>
        <v>2.8284271247461903</v>
      </c>
      <c r="E82" s="4">
        <f t="shared" si="1"/>
        <v>3.1622776601683795</v>
      </c>
      <c r="F82" s="4">
        <f t="shared" si="2"/>
        <v>2.4494897427831779</v>
      </c>
      <c r="G82" s="4">
        <f t="shared" si="3"/>
        <v>1.7320508075688772</v>
      </c>
      <c r="H82" s="4">
        <f t="shared" si="4"/>
        <v>2.4494897427831779</v>
      </c>
      <c r="I82" s="4">
        <f t="shared" si="5"/>
        <v>2.4494897427831779</v>
      </c>
      <c r="J82" s="4">
        <f t="shared" si="6"/>
        <v>1.7320508075688772</v>
      </c>
      <c r="K82" s="4" t="str">
        <f t="shared" si="7"/>
        <v>C5</v>
      </c>
      <c r="L82" s="14">
        <f t="shared" si="8"/>
        <v>2.9999999999999996</v>
      </c>
      <c r="S82" s="72"/>
      <c r="T82" s="72"/>
      <c r="U82" s="41" t="s">
        <v>166</v>
      </c>
    </row>
    <row r="83" spans="1:21" x14ac:dyDescent="0.35">
      <c r="A83" s="4">
        <v>16</v>
      </c>
      <c r="B83" s="14" t="s">
        <v>169</v>
      </c>
      <c r="C83" s="4">
        <f t="shared" si="9"/>
        <v>2.6457513110645907</v>
      </c>
      <c r="D83" s="4">
        <f t="shared" si="0"/>
        <v>3.3166247903553998</v>
      </c>
      <c r="E83" s="4">
        <f t="shared" si="1"/>
        <v>3.3166247903553998</v>
      </c>
      <c r="F83" s="4">
        <f t="shared" si="2"/>
        <v>3</v>
      </c>
      <c r="G83" s="4">
        <f t="shared" si="3"/>
        <v>2.8284271247461903</v>
      </c>
      <c r="H83" s="4">
        <f t="shared" si="4"/>
        <v>2.6457513110645907</v>
      </c>
      <c r="I83" s="4">
        <f t="shared" si="5"/>
        <v>2.6457513110645907</v>
      </c>
      <c r="J83" s="4">
        <f t="shared" si="6"/>
        <v>2.6457513110645907</v>
      </c>
      <c r="K83" s="4" t="str">
        <f t="shared" si="7"/>
        <v>C1</v>
      </c>
      <c r="L83" s="14">
        <f t="shared" si="8"/>
        <v>7.0000000000000009</v>
      </c>
      <c r="S83" s="72"/>
      <c r="T83" s="72"/>
      <c r="U83" s="41" t="s">
        <v>181</v>
      </c>
    </row>
    <row r="84" spans="1:21" x14ac:dyDescent="0.35">
      <c r="A84" s="4">
        <v>17</v>
      </c>
      <c r="B84" s="14" t="s">
        <v>172</v>
      </c>
      <c r="C84" s="4">
        <f t="shared" si="9"/>
        <v>2.2360679774997898</v>
      </c>
      <c r="D84" s="4">
        <f t="shared" si="0"/>
        <v>2.6457513110645907</v>
      </c>
      <c r="E84" s="4">
        <f t="shared" si="1"/>
        <v>3.3166247903553998</v>
      </c>
      <c r="F84" s="4">
        <f t="shared" si="2"/>
        <v>2.2360679774997898</v>
      </c>
      <c r="G84" s="4">
        <f t="shared" si="3"/>
        <v>2.8284271247461903</v>
      </c>
      <c r="H84" s="4">
        <f t="shared" si="4"/>
        <v>3.3166247903553998</v>
      </c>
      <c r="I84" s="4">
        <f t="shared" si="5"/>
        <v>2.6457513110645907</v>
      </c>
      <c r="J84" s="4">
        <f t="shared" si="6"/>
        <v>2.2360679774997898</v>
      </c>
      <c r="K84" s="4" t="str">
        <f t="shared" si="7"/>
        <v>C1</v>
      </c>
      <c r="L84" s="14">
        <f t="shared" si="8"/>
        <v>5.0000000000000009</v>
      </c>
      <c r="S84" s="72"/>
      <c r="T84" s="72"/>
      <c r="U84" s="41" t="s">
        <v>227</v>
      </c>
    </row>
    <row r="85" spans="1:21" x14ac:dyDescent="0.35">
      <c r="A85" s="4">
        <v>18</v>
      </c>
      <c r="B85" s="14" t="s">
        <v>175</v>
      </c>
      <c r="C85" s="4">
        <f t="shared" si="9"/>
        <v>3.4641016151377544</v>
      </c>
      <c r="D85" s="4">
        <f t="shared" si="0"/>
        <v>2.4494897427831779</v>
      </c>
      <c r="E85" s="4">
        <f t="shared" si="1"/>
        <v>2</v>
      </c>
      <c r="F85" s="4">
        <f t="shared" si="2"/>
        <v>3.1622776601683795</v>
      </c>
      <c r="G85" s="4">
        <f t="shared" si="3"/>
        <v>2.2360679774997898</v>
      </c>
      <c r="H85" s="4">
        <f t="shared" si="4"/>
        <v>2</v>
      </c>
      <c r="I85" s="4">
        <f t="shared" si="5"/>
        <v>2.8284271247461903</v>
      </c>
      <c r="J85" s="4">
        <f t="shared" si="6"/>
        <v>2</v>
      </c>
      <c r="K85" s="4" t="str">
        <f t="shared" si="7"/>
        <v>C3</v>
      </c>
      <c r="L85" s="14">
        <f t="shared" si="8"/>
        <v>4</v>
      </c>
      <c r="S85" s="72"/>
      <c r="T85" s="72"/>
      <c r="U85" s="41" t="s">
        <v>253</v>
      </c>
    </row>
    <row r="86" spans="1:21" x14ac:dyDescent="0.35">
      <c r="A86" s="4">
        <v>19</v>
      </c>
      <c r="B86" s="14" t="s">
        <v>178</v>
      </c>
      <c r="C86" s="4">
        <f t="shared" si="9"/>
        <v>1</v>
      </c>
      <c r="D86" s="4">
        <f t="shared" si="0"/>
        <v>2.6457513110645907</v>
      </c>
      <c r="E86" s="4">
        <f t="shared" si="1"/>
        <v>3.6055512754639891</v>
      </c>
      <c r="F86" s="4">
        <f t="shared" si="2"/>
        <v>2.2360679774997898</v>
      </c>
      <c r="G86" s="4">
        <f t="shared" si="3"/>
        <v>2.8284271247461903</v>
      </c>
      <c r="H86" s="4">
        <f t="shared" si="4"/>
        <v>3</v>
      </c>
      <c r="I86" s="4">
        <f t="shared" si="5"/>
        <v>3</v>
      </c>
      <c r="J86" s="4">
        <f t="shared" si="6"/>
        <v>1</v>
      </c>
      <c r="K86" s="4" t="str">
        <f t="shared" si="7"/>
        <v>C1</v>
      </c>
      <c r="L86" s="14">
        <f t="shared" si="8"/>
        <v>1</v>
      </c>
      <c r="S86" s="72"/>
      <c r="T86" s="72"/>
      <c r="U86" s="41" t="s">
        <v>226</v>
      </c>
    </row>
    <row r="87" spans="1:21" x14ac:dyDescent="0.35">
      <c r="A87" s="4">
        <v>20</v>
      </c>
      <c r="B87" s="14" t="s">
        <v>181</v>
      </c>
      <c r="C87" s="4">
        <f t="shared" si="9"/>
        <v>2.4494897427831779</v>
      </c>
      <c r="D87" s="4">
        <f t="shared" si="0"/>
        <v>2.8284271247461903</v>
      </c>
      <c r="E87" s="4">
        <f t="shared" si="1"/>
        <v>3.1622776601683795</v>
      </c>
      <c r="F87" s="4">
        <f t="shared" si="2"/>
        <v>2.4494897427831779</v>
      </c>
      <c r="G87" s="4">
        <f t="shared" si="3"/>
        <v>1.7320508075688772</v>
      </c>
      <c r="H87" s="4">
        <f t="shared" si="4"/>
        <v>2.4494897427831779</v>
      </c>
      <c r="I87" s="4">
        <f t="shared" si="5"/>
        <v>2.4494897427831779</v>
      </c>
      <c r="J87" s="4">
        <f t="shared" si="6"/>
        <v>1.7320508075688772</v>
      </c>
      <c r="K87" s="4" t="str">
        <f t="shared" si="7"/>
        <v>C5</v>
      </c>
      <c r="L87" s="14">
        <f t="shared" si="8"/>
        <v>2.9999999999999996</v>
      </c>
      <c r="S87" s="103" t="s">
        <v>184</v>
      </c>
      <c r="T87" s="103">
        <v>4</v>
      </c>
      <c r="U87" s="41" t="s">
        <v>140</v>
      </c>
    </row>
    <row r="88" spans="1:21" x14ac:dyDescent="0.35">
      <c r="A88" s="4">
        <v>21</v>
      </c>
      <c r="B88" s="14" t="s">
        <v>227</v>
      </c>
      <c r="C88" s="4">
        <f t="shared" si="9"/>
        <v>3.4641016151377544</v>
      </c>
      <c r="D88" s="4">
        <f t="shared" si="0"/>
        <v>4.2426406871192848</v>
      </c>
      <c r="E88" s="4">
        <f t="shared" si="1"/>
        <v>4.8989794855663558</v>
      </c>
      <c r="F88" s="4">
        <f t="shared" si="2"/>
        <v>4</v>
      </c>
      <c r="G88" s="4">
        <f t="shared" si="3"/>
        <v>3.3166247903553998</v>
      </c>
      <c r="H88" s="4">
        <f t="shared" si="4"/>
        <v>4</v>
      </c>
      <c r="I88" s="4">
        <f t="shared" si="5"/>
        <v>4.2426406871192848</v>
      </c>
      <c r="J88" s="4">
        <f t="shared" si="6"/>
        <v>3.3166247903553998</v>
      </c>
      <c r="K88" s="4" t="str">
        <f t="shared" si="7"/>
        <v>C5</v>
      </c>
      <c r="L88" s="14">
        <f t="shared" si="8"/>
        <v>11</v>
      </c>
      <c r="S88" s="104"/>
      <c r="T88" s="104"/>
      <c r="U88" s="41" t="s">
        <v>149</v>
      </c>
    </row>
    <row r="89" spans="1:21" x14ac:dyDescent="0.35">
      <c r="A89" s="4">
        <v>22</v>
      </c>
      <c r="B89" s="14" t="s">
        <v>224</v>
      </c>
      <c r="C89" s="4">
        <f t="shared" si="9"/>
        <v>2.2360679774997898</v>
      </c>
      <c r="D89" s="4">
        <f t="shared" si="0"/>
        <v>2.6457513110645907</v>
      </c>
      <c r="E89" s="4">
        <f t="shared" si="1"/>
        <v>3.872983346207417</v>
      </c>
      <c r="F89" s="4">
        <f t="shared" si="2"/>
        <v>2.6457513110645907</v>
      </c>
      <c r="G89" s="4">
        <f t="shared" si="3"/>
        <v>2.8284271247461903</v>
      </c>
      <c r="H89" s="4">
        <f t="shared" si="4"/>
        <v>3.3166247903553998</v>
      </c>
      <c r="I89" s="4">
        <f t="shared" si="5"/>
        <v>3.3166247903553998</v>
      </c>
      <c r="J89" s="4">
        <f t="shared" si="6"/>
        <v>2.2360679774997898</v>
      </c>
      <c r="K89" s="4" t="str">
        <f t="shared" si="7"/>
        <v>C1</v>
      </c>
      <c r="L89" s="14">
        <f t="shared" si="8"/>
        <v>5.0000000000000009</v>
      </c>
      <c r="S89" s="104"/>
      <c r="T89" s="104"/>
      <c r="U89" s="41" t="s">
        <v>160</v>
      </c>
    </row>
    <row r="90" spans="1:21" x14ac:dyDescent="0.35">
      <c r="A90" s="4">
        <v>23</v>
      </c>
      <c r="B90" s="14" t="s">
        <v>248</v>
      </c>
      <c r="C90" s="4">
        <f t="shared" si="9"/>
        <v>4.5825756949558398</v>
      </c>
      <c r="D90" s="4">
        <f t="shared" si="0"/>
        <v>4.5825756949558398</v>
      </c>
      <c r="E90" s="4">
        <f t="shared" si="1"/>
        <v>5</v>
      </c>
      <c r="F90" s="4">
        <f t="shared" si="2"/>
        <v>4.358898943540674</v>
      </c>
      <c r="G90" s="4">
        <f t="shared" si="3"/>
        <v>3.7416573867739413</v>
      </c>
      <c r="H90" s="4">
        <f t="shared" si="4"/>
        <v>4.358898943540674</v>
      </c>
      <c r="I90" s="4">
        <f t="shared" si="5"/>
        <v>4.1231056256176606</v>
      </c>
      <c r="J90" s="4">
        <f t="shared" si="6"/>
        <v>3.7416573867739413</v>
      </c>
      <c r="K90" s="4" t="str">
        <f t="shared" si="7"/>
        <v>C5</v>
      </c>
      <c r="L90" s="14">
        <f t="shared" si="8"/>
        <v>14</v>
      </c>
      <c r="S90" s="105"/>
      <c r="T90" s="105"/>
      <c r="U90" s="41" t="s">
        <v>163</v>
      </c>
    </row>
    <row r="91" spans="1:21" x14ac:dyDescent="0.35">
      <c r="A91" s="4">
        <v>24</v>
      </c>
      <c r="B91" s="14" t="s">
        <v>226</v>
      </c>
      <c r="C91" s="4">
        <f t="shared" si="9"/>
        <v>3.1622776601683795</v>
      </c>
      <c r="D91" s="4">
        <f t="shared" si="0"/>
        <v>3.4641016151377544</v>
      </c>
      <c r="E91" s="4">
        <f t="shared" si="1"/>
        <v>3.7416573867739413</v>
      </c>
      <c r="F91" s="4">
        <f t="shared" si="2"/>
        <v>2.8284271247461903</v>
      </c>
      <c r="G91" s="4">
        <f t="shared" si="3"/>
        <v>2.6457513110645907</v>
      </c>
      <c r="H91" s="4">
        <f t="shared" si="4"/>
        <v>3.1622776601683795</v>
      </c>
      <c r="I91" s="4">
        <f t="shared" si="5"/>
        <v>3.1622776601683795</v>
      </c>
      <c r="J91" s="4">
        <f t="shared" si="6"/>
        <v>2.6457513110645907</v>
      </c>
      <c r="K91" s="4" t="str">
        <f t="shared" si="7"/>
        <v>C5</v>
      </c>
      <c r="L91" s="14">
        <f t="shared" si="8"/>
        <v>7.0000000000000009</v>
      </c>
      <c r="S91" s="4" t="s">
        <v>185</v>
      </c>
      <c r="T91" s="4">
        <v>1</v>
      </c>
      <c r="U91" s="4" t="s">
        <v>143</v>
      </c>
    </row>
    <row r="92" spans="1:21" x14ac:dyDescent="0.35">
      <c r="A92" s="4">
        <v>25</v>
      </c>
      <c r="B92" s="14" t="s">
        <v>225</v>
      </c>
      <c r="C92" s="4">
        <f t="shared" si="9"/>
        <v>2.6457513110645907</v>
      </c>
      <c r="D92" s="4">
        <f t="shared" si="0"/>
        <v>1</v>
      </c>
      <c r="E92" s="4">
        <f t="shared" si="1"/>
        <v>2.6457513110645907</v>
      </c>
      <c r="F92" s="4">
        <f t="shared" si="2"/>
        <v>2.2360679774997898</v>
      </c>
      <c r="G92" s="4">
        <f t="shared" si="3"/>
        <v>3.1622776601683795</v>
      </c>
      <c r="H92" s="4">
        <f t="shared" si="4"/>
        <v>2.2360679774997898</v>
      </c>
      <c r="I92" s="4">
        <f t="shared" si="5"/>
        <v>2.6457513110645907</v>
      </c>
      <c r="J92" s="4">
        <f t="shared" si="6"/>
        <v>1</v>
      </c>
      <c r="K92" s="4" t="str">
        <f t="shared" si="7"/>
        <v>C2</v>
      </c>
      <c r="L92" s="14">
        <f t="shared" si="8"/>
        <v>1</v>
      </c>
    </row>
    <row r="95" spans="1:21" ht="15" thickBot="1" x14ac:dyDescent="0.4">
      <c r="A95" s="70" t="s">
        <v>94</v>
      </c>
      <c r="B95" s="70"/>
      <c r="C95" s="70"/>
      <c r="D95" s="70"/>
      <c r="E95" s="70"/>
      <c r="F95" s="70"/>
      <c r="G95" s="70"/>
      <c r="H95" s="70"/>
      <c r="I95" s="70"/>
      <c r="J95" s="70"/>
      <c r="K95" s="70"/>
      <c r="L95" s="70"/>
      <c r="M95" s="70"/>
      <c r="N95" s="70"/>
      <c r="O95" s="70"/>
      <c r="P95" s="70"/>
      <c r="Q95" s="70"/>
      <c r="R95" s="70"/>
    </row>
    <row r="96" spans="1:21" ht="16" thickBot="1" x14ac:dyDescent="0.4">
      <c r="A96" s="59" t="s">
        <v>87</v>
      </c>
      <c r="B96" s="47" t="s">
        <v>192</v>
      </c>
      <c r="C96" s="48" t="s">
        <v>193</v>
      </c>
      <c r="D96" s="48" t="s">
        <v>194</v>
      </c>
      <c r="E96" s="48" t="s">
        <v>195</v>
      </c>
      <c r="F96" s="48" t="s">
        <v>196</v>
      </c>
      <c r="G96" s="48" t="s">
        <v>197</v>
      </c>
      <c r="H96" s="48" t="s">
        <v>198</v>
      </c>
      <c r="I96" s="48" t="s">
        <v>199</v>
      </c>
      <c r="J96" s="48" t="s">
        <v>200</v>
      </c>
      <c r="K96" s="48" t="s">
        <v>201</v>
      </c>
      <c r="L96" s="48" t="s">
        <v>202</v>
      </c>
      <c r="M96" s="48" t="s">
        <v>203</v>
      </c>
      <c r="N96" s="48" t="s">
        <v>204</v>
      </c>
      <c r="O96" s="48" t="s">
        <v>205</v>
      </c>
      <c r="P96" s="48" t="s">
        <v>206</v>
      </c>
      <c r="Q96" s="48" t="s">
        <v>207</v>
      </c>
      <c r="R96" s="48" t="s">
        <v>208</v>
      </c>
    </row>
    <row r="97" spans="1:20" x14ac:dyDescent="0.35">
      <c r="A97" s="4" t="s">
        <v>49</v>
      </c>
      <c r="B97" s="28">
        <f>AVERAGEIFS(B$30:B$54,$K$68:$K$92, "C1")</f>
        <v>2.8333333333333335</v>
      </c>
      <c r="C97" s="28">
        <f t="shared" ref="C97:R97" si="10">AVERAGEIFS(C$30:C$54,$K$68:$K$92, "C1")</f>
        <v>2.3333333333333335</v>
      </c>
      <c r="D97" s="28">
        <f t="shared" si="10"/>
        <v>2</v>
      </c>
      <c r="E97" s="28">
        <f t="shared" si="10"/>
        <v>2.1666666666666665</v>
      </c>
      <c r="F97" s="28">
        <f t="shared" si="10"/>
        <v>2</v>
      </c>
      <c r="G97" s="28">
        <f t="shared" si="10"/>
        <v>2.6666666666666665</v>
      </c>
      <c r="H97" s="28">
        <f t="shared" si="10"/>
        <v>2</v>
      </c>
      <c r="I97" s="28">
        <f t="shared" si="10"/>
        <v>2.8333333333333335</v>
      </c>
      <c r="J97" s="28">
        <f t="shared" si="10"/>
        <v>2.1666666666666665</v>
      </c>
      <c r="K97" s="28">
        <f t="shared" si="10"/>
        <v>2.1666666666666665</v>
      </c>
      <c r="L97" s="28">
        <f t="shared" si="10"/>
        <v>2.6666666666666665</v>
      </c>
      <c r="M97" s="28">
        <f t="shared" si="10"/>
        <v>2</v>
      </c>
      <c r="N97" s="28">
        <f t="shared" si="10"/>
        <v>2</v>
      </c>
      <c r="O97" s="28">
        <f t="shared" si="10"/>
        <v>2</v>
      </c>
      <c r="P97" s="28">
        <f t="shared" si="10"/>
        <v>2.1666666666666665</v>
      </c>
      <c r="Q97" s="28">
        <f t="shared" si="10"/>
        <v>2.8333333333333335</v>
      </c>
      <c r="R97" s="28">
        <f t="shared" si="10"/>
        <v>2</v>
      </c>
    </row>
    <row r="98" spans="1:20" x14ac:dyDescent="0.35">
      <c r="A98" s="4" t="s">
        <v>53</v>
      </c>
      <c r="B98" s="4">
        <f>AVERAGEIFS(B$30:B$54,$K$68:$K$92, "C2")</f>
        <v>3</v>
      </c>
      <c r="C98" s="4">
        <f t="shared" ref="C98:R98" si="11">AVERAGEIFS(C$30:C$54,$K$68:$K$92, "C2")</f>
        <v>2</v>
      </c>
      <c r="D98" s="4">
        <f t="shared" si="11"/>
        <v>3</v>
      </c>
      <c r="E98" s="4">
        <f t="shared" si="11"/>
        <v>2</v>
      </c>
      <c r="F98" s="4">
        <f t="shared" si="11"/>
        <v>3</v>
      </c>
      <c r="G98" s="4">
        <f t="shared" si="11"/>
        <v>2</v>
      </c>
      <c r="H98" s="4">
        <f t="shared" si="11"/>
        <v>2</v>
      </c>
      <c r="I98" s="4">
        <f t="shared" si="11"/>
        <v>3</v>
      </c>
      <c r="J98" s="4">
        <f t="shared" si="11"/>
        <v>2</v>
      </c>
      <c r="K98" s="4">
        <f t="shared" si="11"/>
        <v>2</v>
      </c>
      <c r="L98" s="4">
        <f t="shared" si="11"/>
        <v>2</v>
      </c>
      <c r="M98" s="4">
        <f t="shared" si="11"/>
        <v>3</v>
      </c>
      <c r="N98" s="4">
        <f t="shared" si="11"/>
        <v>2</v>
      </c>
      <c r="O98" s="4">
        <f t="shared" si="11"/>
        <v>3</v>
      </c>
      <c r="P98" s="4">
        <f t="shared" si="11"/>
        <v>2.5</v>
      </c>
      <c r="Q98" s="4">
        <f t="shared" si="11"/>
        <v>3</v>
      </c>
      <c r="R98" s="4">
        <f t="shared" si="11"/>
        <v>2</v>
      </c>
    </row>
    <row r="99" spans="1:20" x14ac:dyDescent="0.35">
      <c r="A99" s="4" t="s">
        <v>58</v>
      </c>
      <c r="B99" s="4">
        <f>AVERAGEIFS(B$30:B$54,$K$68:$K$92, "C3")</f>
        <v>2</v>
      </c>
      <c r="C99" s="4">
        <f t="shared" ref="C99:R99" si="12">AVERAGEIFS(C$30:C$54,$K$68:$K$92, "C3")</f>
        <v>2.5</v>
      </c>
      <c r="D99" s="4">
        <f t="shared" si="12"/>
        <v>3</v>
      </c>
      <c r="E99" s="4">
        <f t="shared" si="12"/>
        <v>2.5</v>
      </c>
      <c r="F99" s="4">
        <f t="shared" si="12"/>
        <v>3</v>
      </c>
      <c r="G99" s="4">
        <f t="shared" si="12"/>
        <v>2</v>
      </c>
      <c r="H99" s="4">
        <f t="shared" si="12"/>
        <v>2.5</v>
      </c>
      <c r="I99" s="4">
        <f t="shared" si="12"/>
        <v>2.5</v>
      </c>
      <c r="J99" s="4">
        <f t="shared" si="12"/>
        <v>2</v>
      </c>
      <c r="K99" s="4">
        <f t="shared" si="12"/>
        <v>3</v>
      </c>
      <c r="L99" s="4">
        <f t="shared" si="12"/>
        <v>2</v>
      </c>
      <c r="M99" s="4">
        <f t="shared" si="12"/>
        <v>3</v>
      </c>
      <c r="N99" s="4">
        <f t="shared" si="12"/>
        <v>2</v>
      </c>
      <c r="O99" s="4">
        <f t="shared" si="12"/>
        <v>3</v>
      </c>
      <c r="P99" s="4">
        <f t="shared" si="12"/>
        <v>3</v>
      </c>
      <c r="Q99" s="4">
        <f t="shared" si="12"/>
        <v>2</v>
      </c>
      <c r="R99" s="4">
        <f t="shared" si="12"/>
        <v>3</v>
      </c>
    </row>
    <row r="100" spans="1:20" x14ac:dyDescent="0.35">
      <c r="A100" s="4" t="s">
        <v>59</v>
      </c>
      <c r="B100" s="4">
        <f>AVERAGEIFS(B$30:B$54,$K$68:$K$92, "C4")</f>
        <v>3</v>
      </c>
      <c r="C100" s="4">
        <f t="shared" ref="C100:R100" si="13">AVERAGEIFS(C$30:C$54,$K$68:$K$92, "C4")</f>
        <v>2</v>
      </c>
      <c r="D100" s="4">
        <f t="shared" si="13"/>
        <v>3</v>
      </c>
      <c r="E100" s="4">
        <f t="shared" si="13"/>
        <v>2</v>
      </c>
      <c r="F100" s="4">
        <f t="shared" si="13"/>
        <v>3</v>
      </c>
      <c r="G100" s="4">
        <f t="shared" si="13"/>
        <v>2</v>
      </c>
      <c r="H100" s="4">
        <f t="shared" si="13"/>
        <v>2</v>
      </c>
      <c r="I100" s="4">
        <f t="shared" si="13"/>
        <v>2</v>
      </c>
      <c r="J100" s="4">
        <f t="shared" si="13"/>
        <v>3</v>
      </c>
      <c r="K100" s="4">
        <f t="shared" si="13"/>
        <v>2</v>
      </c>
      <c r="L100" s="4">
        <f t="shared" si="13"/>
        <v>3</v>
      </c>
      <c r="M100" s="4">
        <f t="shared" si="13"/>
        <v>2</v>
      </c>
      <c r="N100" s="4">
        <f t="shared" si="13"/>
        <v>2</v>
      </c>
      <c r="O100" s="4">
        <f t="shared" si="13"/>
        <v>2</v>
      </c>
      <c r="P100" s="4">
        <f t="shared" si="13"/>
        <v>2</v>
      </c>
      <c r="Q100" s="4">
        <f t="shared" si="13"/>
        <v>3</v>
      </c>
      <c r="R100" s="4">
        <f t="shared" si="13"/>
        <v>2</v>
      </c>
    </row>
    <row r="101" spans="1:20" x14ac:dyDescent="0.35">
      <c r="A101" s="4" t="s">
        <v>88</v>
      </c>
      <c r="B101" s="28">
        <f>AVERAGEIFS(B$30:B$54,$K$68:$K$92, "C5")</f>
        <v>2</v>
      </c>
      <c r="C101" s="28">
        <f t="shared" ref="C101:R101" si="14">AVERAGEIFS(C$30:C$54,$K$68:$K$92, "C5")</f>
        <v>2</v>
      </c>
      <c r="D101" s="28">
        <f t="shared" si="14"/>
        <v>1.8888888888888888</v>
      </c>
      <c r="E101" s="28">
        <f t="shared" si="14"/>
        <v>2.2222222222222223</v>
      </c>
      <c r="F101" s="28">
        <f t="shared" si="14"/>
        <v>1.8888888888888888</v>
      </c>
      <c r="G101" s="28">
        <f t="shared" si="14"/>
        <v>1.8888888888888888</v>
      </c>
      <c r="H101" s="28">
        <f t="shared" si="14"/>
        <v>2</v>
      </c>
      <c r="I101" s="28">
        <f t="shared" si="14"/>
        <v>2.1111111111111112</v>
      </c>
      <c r="J101" s="28">
        <f t="shared" si="14"/>
        <v>2.1111111111111112</v>
      </c>
      <c r="K101" s="28">
        <f t="shared" si="14"/>
        <v>2.1111111111111112</v>
      </c>
      <c r="L101" s="28">
        <f t="shared" si="14"/>
        <v>2</v>
      </c>
      <c r="M101" s="28">
        <f t="shared" si="14"/>
        <v>2.1111111111111112</v>
      </c>
      <c r="N101" s="28">
        <f t="shared" si="14"/>
        <v>1.8888888888888888</v>
      </c>
      <c r="O101" s="28">
        <f t="shared" si="14"/>
        <v>1.8888888888888888</v>
      </c>
      <c r="P101" s="28">
        <f t="shared" si="14"/>
        <v>1.8888888888888888</v>
      </c>
      <c r="Q101" s="28">
        <f t="shared" si="14"/>
        <v>2.1111111111111112</v>
      </c>
      <c r="R101" s="28">
        <f t="shared" si="14"/>
        <v>2.1111111111111112</v>
      </c>
    </row>
    <row r="102" spans="1:20" x14ac:dyDescent="0.35">
      <c r="A102" s="4" t="s">
        <v>184</v>
      </c>
      <c r="B102" s="4">
        <f>AVERAGEIFS(B$30:B$54,$K$68:$K$92, "C6")</f>
        <v>2</v>
      </c>
      <c r="C102" s="4">
        <f t="shared" ref="C102:R102" si="15">AVERAGEIFS(C$30:C$54,$K$68:$K$92, "C6")</f>
        <v>2.25</v>
      </c>
      <c r="D102" s="4">
        <f t="shared" si="15"/>
        <v>3</v>
      </c>
      <c r="E102" s="4">
        <f t="shared" si="15"/>
        <v>2</v>
      </c>
      <c r="F102" s="4">
        <f t="shared" si="15"/>
        <v>3</v>
      </c>
      <c r="G102" s="4">
        <f t="shared" si="15"/>
        <v>2.25</v>
      </c>
      <c r="H102" s="4">
        <f t="shared" si="15"/>
        <v>2</v>
      </c>
      <c r="I102" s="4">
        <f t="shared" si="15"/>
        <v>2</v>
      </c>
      <c r="J102" s="4">
        <f t="shared" si="15"/>
        <v>2.25</v>
      </c>
      <c r="K102" s="4">
        <f t="shared" si="15"/>
        <v>2</v>
      </c>
      <c r="L102" s="4">
        <f t="shared" si="15"/>
        <v>2.5</v>
      </c>
      <c r="M102" s="4">
        <f t="shared" si="15"/>
        <v>3</v>
      </c>
      <c r="N102" s="4">
        <f t="shared" si="15"/>
        <v>2</v>
      </c>
      <c r="O102" s="4">
        <f t="shared" si="15"/>
        <v>3</v>
      </c>
      <c r="P102" s="4">
        <f t="shared" si="15"/>
        <v>3</v>
      </c>
      <c r="Q102" s="4">
        <f t="shared" si="15"/>
        <v>2</v>
      </c>
      <c r="R102" s="4">
        <f t="shared" si="15"/>
        <v>2</v>
      </c>
    </row>
    <row r="103" spans="1:20" x14ac:dyDescent="0.35">
      <c r="A103" s="4" t="s">
        <v>185</v>
      </c>
      <c r="B103" s="4">
        <f>AVERAGEIFS(B$30:B$54,$K$68:$K$92, "C7")</f>
        <v>3</v>
      </c>
      <c r="C103" s="4">
        <f t="shared" ref="C103:R103" si="16">AVERAGEIFS(C$30:C$54,$K$68:$K$92, "C7")</f>
        <v>2</v>
      </c>
      <c r="D103" s="4">
        <f t="shared" si="16"/>
        <v>3</v>
      </c>
      <c r="E103" s="4">
        <f t="shared" si="16"/>
        <v>2</v>
      </c>
      <c r="F103" s="4">
        <f t="shared" si="16"/>
        <v>3</v>
      </c>
      <c r="G103" s="4">
        <f t="shared" si="16"/>
        <v>2</v>
      </c>
      <c r="H103" s="4">
        <f t="shared" si="16"/>
        <v>3</v>
      </c>
      <c r="I103" s="4">
        <f t="shared" si="16"/>
        <v>2</v>
      </c>
      <c r="J103" s="4">
        <f t="shared" si="16"/>
        <v>3</v>
      </c>
      <c r="K103" s="4">
        <f t="shared" si="16"/>
        <v>2</v>
      </c>
      <c r="L103" s="4">
        <f t="shared" si="16"/>
        <v>2</v>
      </c>
      <c r="M103" s="4">
        <f t="shared" si="16"/>
        <v>2</v>
      </c>
      <c r="N103" s="4">
        <f t="shared" si="16"/>
        <v>2</v>
      </c>
      <c r="O103" s="4">
        <f t="shared" si="16"/>
        <v>2</v>
      </c>
      <c r="P103" s="4">
        <f t="shared" si="16"/>
        <v>3</v>
      </c>
      <c r="Q103" s="4">
        <f t="shared" si="16"/>
        <v>2</v>
      </c>
      <c r="R103" s="4">
        <f t="shared" si="16"/>
        <v>2</v>
      </c>
    </row>
    <row r="106" spans="1:20" x14ac:dyDescent="0.35">
      <c r="A106" s="70" t="s">
        <v>252</v>
      </c>
      <c r="B106" s="70"/>
      <c r="C106" s="70"/>
      <c r="D106" s="70"/>
      <c r="E106" s="70"/>
      <c r="F106" s="70"/>
      <c r="G106" s="70"/>
      <c r="H106" s="70"/>
      <c r="I106" s="70"/>
      <c r="J106" s="70"/>
      <c r="K106" s="70"/>
      <c r="L106" s="70"/>
      <c r="M106" s="70"/>
      <c r="R106" s="42" t="s">
        <v>186</v>
      </c>
      <c r="S106" s="42" t="s">
        <v>187</v>
      </c>
      <c r="T106" s="42" t="s">
        <v>188</v>
      </c>
    </row>
    <row r="107" spans="1:20" x14ac:dyDescent="0.35">
      <c r="A107" s="43" t="s">
        <v>236</v>
      </c>
      <c r="B107" s="59" t="s">
        <v>106</v>
      </c>
      <c r="C107" s="45" t="s">
        <v>49</v>
      </c>
      <c r="D107" s="45" t="s">
        <v>53</v>
      </c>
      <c r="E107" s="45" t="s">
        <v>58</v>
      </c>
      <c r="F107" s="45" t="s">
        <v>59</v>
      </c>
      <c r="G107" s="45" t="s">
        <v>88</v>
      </c>
      <c r="H107" s="45" t="s">
        <v>184</v>
      </c>
      <c r="I107" s="45" t="s">
        <v>185</v>
      </c>
      <c r="J107" s="42" t="s">
        <v>86</v>
      </c>
      <c r="K107" s="42" t="s">
        <v>87</v>
      </c>
      <c r="L107" s="42" t="s">
        <v>104</v>
      </c>
      <c r="M107" s="42" t="s">
        <v>191</v>
      </c>
      <c r="R107" s="72" t="s">
        <v>49</v>
      </c>
      <c r="S107" s="72">
        <v>7</v>
      </c>
      <c r="T107" s="4" t="s">
        <v>130</v>
      </c>
    </row>
    <row r="108" spans="1:20" x14ac:dyDescent="0.35">
      <c r="A108" s="4">
        <v>1</v>
      </c>
      <c r="B108" s="14" t="s">
        <v>130</v>
      </c>
      <c r="C108" s="4">
        <f>SQRT(SUMXMY2(B30:R30, $B$97:$R$97))</f>
        <v>1.0929064207170003</v>
      </c>
      <c r="D108" s="4">
        <f t="shared" ref="D108:D132" si="17">SQRT(SUMXMY2(B30:R30, $B$98:$R$98))</f>
        <v>2.6925824035672519</v>
      </c>
      <c r="E108" s="4">
        <f t="shared" ref="E108:E132" si="18">SQRT(SUMXMY2(B30:R30, $B$99:$R$99))</f>
        <v>3.3166247903553998</v>
      </c>
      <c r="F108" s="4">
        <f t="shared" ref="F108:F132" si="19">SQRT(SUMXMY2(B30:R30, $B$100:$R$100))</f>
        <v>2.4494897427831779</v>
      </c>
      <c r="G108" s="4">
        <f t="shared" ref="G108:G132" si="20">SQRT(SUMXMY2(B30:R30, $B$101:$R$101))</f>
        <v>2.3985592383247671</v>
      </c>
      <c r="H108" s="4">
        <f t="shared" ref="H108:H132" si="21">SQRT(SUMXMY2(B30:R30, $B$102:$R$102))</f>
        <v>3.1523800532296229</v>
      </c>
      <c r="I108" s="4">
        <f t="shared" ref="I108:I132" si="22">SQRT(SUMXMY2(B30:R30, $B$103:$R$103))</f>
        <v>3.1622776601683795</v>
      </c>
      <c r="J108" s="4">
        <f>MIN(C108:I108)</f>
        <v>1.0929064207170003</v>
      </c>
      <c r="K108" s="4" t="str">
        <f>"C"&amp;MATCH(J108,C108:I108,0)</f>
        <v>C1</v>
      </c>
      <c r="L108" s="14">
        <f>J108^2</f>
        <v>1.1944444444444449</v>
      </c>
      <c r="M108" s="14">
        <f>SUM(L108:L132)</f>
        <v>48.46913580246914</v>
      </c>
      <c r="R108" s="72"/>
      <c r="S108" s="72"/>
      <c r="T108" s="4" t="s">
        <v>157</v>
      </c>
    </row>
    <row r="109" spans="1:20" x14ac:dyDescent="0.35">
      <c r="A109" s="4">
        <v>2</v>
      </c>
      <c r="B109" s="14" t="s">
        <v>134</v>
      </c>
      <c r="C109" s="4">
        <f t="shared" ref="C109:C132" si="23">SQRT(SUMXMY2(B31:R31, $B$97:$R$97))</f>
        <v>2.4209731743889913</v>
      </c>
      <c r="D109" s="4">
        <f t="shared" si="17"/>
        <v>0.5</v>
      </c>
      <c r="E109" s="4">
        <f t="shared" si="18"/>
        <v>2.2360679774997898</v>
      </c>
      <c r="F109" s="4">
        <f t="shared" si="19"/>
        <v>2.4494897427831779</v>
      </c>
      <c r="G109" s="4">
        <f t="shared" si="20"/>
        <v>2.90168107937791</v>
      </c>
      <c r="H109" s="4">
        <f t="shared" si="21"/>
        <v>1.8540496217739157</v>
      </c>
      <c r="I109" s="4">
        <f t="shared" si="22"/>
        <v>2.4494897427831779</v>
      </c>
      <c r="J109" s="4">
        <f t="shared" ref="J109:J132" si="24">MIN(C109:I109)</f>
        <v>0.5</v>
      </c>
      <c r="K109" s="4" t="str">
        <f t="shared" ref="K109:K132" si="25">"C"&amp;MATCH(J109,C109:I109,0)</f>
        <v>C2</v>
      </c>
      <c r="L109" s="14">
        <f t="shared" ref="L109:L132" si="26">J109^2</f>
        <v>0.25</v>
      </c>
      <c r="R109" s="72"/>
      <c r="S109" s="72"/>
      <c r="T109" s="4" t="s">
        <v>172</v>
      </c>
    </row>
    <row r="110" spans="1:20" x14ac:dyDescent="0.35">
      <c r="A110" s="4">
        <v>3</v>
      </c>
      <c r="B110" s="14" t="s">
        <v>241</v>
      </c>
      <c r="C110" s="4">
        <f t="shared" si="23"/>
        <v>3.192874010111336</v>
      </c>
      <c r="D110" s="4">
        <f t="shared" si="17"/>
        <v>2.5</v>
      </c>
      <c r="E110" s="4">
        <f t="shared" si="18"/>
        <v>1</v>
      </c>
      <c r="F110" s="4">
        <f t="shared" si="19"/>
        <v>3.4641016151377544</v>
      </c>
      <c r="G110" s="4">
        <f t="shared" si="20"/>
        <v>3.1933573029333142</v>
      </c>
      <c r="H110" s="4">
        <f t="shared" si="21"/>
        <v>2.2220486043288972</v>
      </c>
      <c r="I110" s="4">
        <f t="shared" si="22"/>
        <v>2.8284271247461903</v>
      </c>
      <c r="J110" s="4">
        <f t="shared" si="24"/>
        <v>1</v>
      </c>
      <c r="K110" s="4" t="str">
        <f t="shared" si="25"/>
        <v>C3</v>
      </c>
      <c r="L110" s="14">
        <f t="shared" si="26"/>
        <v>1</v>
      </c>
      <c r="R110" s="72"/>
      <c r="S110" s="72"/>
      <c r="T110" s="4" t="s">
        <v>178</v>
      </c>
    </row>
    <row r="111" spans="1:20" x14ac:dyDescent="0.35">
      <c r="A111" s="4">
        <v>4</v>
      </c>
      <c r="B111" s="14" t="s">
        <v>244</v>
      </c>
      <c r="C111" s="4">
        <f t="shared" si="23"/>
        <v>2.0480342879074178</v>
      </c>
      <c r="D111" s="4">
        <f t="shared" si="17"/>
        <v>2.2912878474779199</v>
      </c>
      <c r="E111" s="4">
        <f t="shared" si="18"/>
        <v>3.1622776601683795</v>
      </c>
      <c r="F111" s="4">
        <f t="shared" si="19"/>
        <v>0</v>
      </c>
      <c r="G111" s="4">
        <f t="shared" si="20"/>
        <v>2.4894840558231199</v>
      </c>
      <c r="H111" s="4">
        <f t="shared" si="21"/>
        <v>2.4366985862022408</v>
      </c>
      <c r="I111" s="4">
        <f t="shared" si="22"/>
        <v>2</v>
      </c>
      <c r="J111" s="4">
        <f t="shared" si="24"/>
        <v>0</v>
      </c>
      <c r="K111" s="4" t="str">
        <f t="shared" si="25"/>
        <v>C4</v>
      </c>
      <c r="L111" s="14">
        <f t="shared" si="26"/>
        <v>0</v>
      </c>
      <c r="R111" s="72"/>
      <c r="S111" s="72"/>
      <c r="T111" s="4" t="s">
        <v>224</v>
      </c>
    </row>
    <row r="112" spans="1:20" x14ac:dyDescent="0.35">
      <c r="A112" s="4">
        <v>5</v>
      </c>
      <c r="B112" s="14" t="s">
        <v>137</v>
      </c>
      <c r="C112" s="4">
        <f t="shared" si="23"/>
        <v>2.3511226632776476</v>
      </c>
      <c r="D112" s="4">
        <f t="shared" si="17"/>
        <v>3.2015621187164243</v>
      </c>
      <c r="E112" s="4">
        <f t="shared" si="18"/>
        <v>2.4494897427831779</v>
      </c>
      <c r="F112" s="4">
        <f t="shared" si="19"/>
        <v>3</v>
      </c>
      <c r="G112" s="4">
        <f t="shared" si="20"/>
        <v>1.5194215923530383</v>
      </c>
      <c r="H112" s="4">
        <f t="shared" si="21"/>
        <v>2.9047375096555625</v>
      </c>
      <c r="I112" s="4">
        <f t="shared" si="22"/>
        <v>3</v>
      </c>
      <c r="J112" s="4">
        <f t="shared" si="24"/>
        <v>1.5194215923530383</v>
      </c>
      <c r="K112" s="4" t="str">
        <f t="shared" si="25"/>
        <v>C5</v>
      </c>
      <c r="L112" s="14">
        <f t="shared" si="26"/>
        <v>2.3086419753086425</v>
      </c>
      <c r="R112" s="72"/>
      <c r="S112" s="72"/>
      <c r="T112" s="41" t="s">
        <v>169</v>
      </c>
    </row>
    <row r="113" spans="1:20" x14ac:dyDescent="0.35">
      <c r="A113" s="4">
        <v>6</v>
      </c>
      <c r="B113" s="14" t="s">
        <v>140</v>
      </c>
      <c r="C113" s="4">
        <f t="shared" si="23"/>
        <v>2.7436796055257213</v>
      </c>
      <c r="D113" s="4">
        <f t="shared" si="17"/>
        <v>2.0615528128088303</v>
      </c>
      <c r="E113" s="4">
        <f t="shared" si="18"/>
        <v>2</v>
      </c>
      <c r="F113" s="4">
        <f t="shared" si="19"/>
        <v>2.4494897427831779</v>
      </c>
      <c r="G113" s="4">
        <f t="shared" si="20"/>
        <v>2.6199613605670216</v>
      </c>
      <c r="H113" s="4">
        <f t="shared" si="21"/>
        <v>0.66143782776614768</v>
      </c>
      <c r="I113" s="4">
        <f t="shared" si="22"/>
        <v>2.4494897427831779</v>
      </c>
      <c r="J113" s="4">
        <f t="shared" si="24"/>
        <v>0.66143782776614768</v>
      </c>
      <c r="K113" s="4" t="str">
        <f t="shared" si="25"/>
        <v>C6</v>
      </c>
      <c r="L113" s="14">
        <f t="shared" si="26"/>
        <v>0.43750000000000006</v>
      </c>
      <c r="R113" s="72"/>
      <c r="S113" s="72"/>
      <c r="T113" s="4" t="s">
        <v>151</v>
      </c>
    </row>
    <row r="114" spans="1:20" x14ac:dyDescent="0.35">
      <c r="A114" s="4">
        <v>7</v>
      </c>
      <c r="B114" s="14" t="s">
        <v>143</v>
      </c>
      <c r="C114" s="4">
        <f t="shared" si="23"/>
        <v>2.6193722742502854</v>
      </c>
      <c r="D114" s="4">
        <f t="shared" si="17"/>
        <v>2.5</v>
      </c>
      <c r="E114" s="4">
        <f t="shared" si="18"/>
        <v>2.6457513110645907</v>
      </c>
      <c r="F114" s="4">
        <f t="shared" si="19"/>
        <v>2</v>
      </c>
      <c r="G114" s="4">
        <f t="shared" si="20"/>
        <v>2.5772030010540452</v>
      </c>
      <c r="H114" s="4">
        <f t="shared" si="21"/>
        <v>2.2220486043288972</v>
      </c>
      <c r="I114" s="4">
        <f t="shared" si="22"/>
        <v>0</v>
      </c>
      <c r="J114" s="4">
        <f t="shared" si="24"/>
        <v>0</v>
      </c>
      <c r="K114" s="4" t="str">
        <f t="shared" si="25"/>
        <v>C7</v>
      </c>
      <c r="L114" s="14">
        <f t="shared" si="26"/>
        <v>0</v>
      </c>
      <c r="R114" s="72" t="s">
        <v>53</v>
      </c>
      <c r="S114" s="72">
        <v>2</v>
      </c>
      <c r="T114" s="41" t="s">
        <v>134</v>
      </c>
    </row>
    <row r="115" spans="1:20" x14ac:dyDescent="0.35">
      <c r="A115" s="4">
        <v>8</v>
      </c>
      <c r="B115" s="14" t="s">
        <v>146</v>
      </c>
      <c r="C115" s="4">
        <f t="shared" si="23"/>
        <v>2.2791323885295571</v>
      </c>
      <c r="D115" s="4">
        <f t="shared" si="17"/>
        <v>2.6925824035672519</v>
      </c>
      <c r="E115" s="4">
        <f t="shared" si="18"/>
        <v>2.6457513110645907</v>
      </c>
      <c r="F115" s="4">
        <f t="shared" si="19"/>
        <v>2.8284271247461903</v>
      </c>
      <c r="G115" s="4">
        <f t="shared" si="20"/>
        <v>1.4054567378526133</v>
      </c>
      <c r="H115" s="4">
        <f t="shared" si="21"/>
        <v>2.3318447632722039</v>
      </c>
      <c r="I115" s="4">
        <f t="shared" si="22"/>
        <v>2.4494897427831779</v>
      </c>
      <c r="J115" s="4">
        <f t="shared" si="24"/>
        <v>1.4054567378526133</v>
      </c>
      <c r="K115" s="4" t="str">
        <f t="shared" si="25"/>
        <v>C5</v>
      </c>
      <c r="L115" s="14">
        <f t="shared" si="26"/>
        <v>1.9753086419753092</v>
      </c>
      <c r="R115" s="72"/>
      <c r="S115" s="72"/>
      <c r="T115" s="41" t="s">
        <v>225</v>
      </c>
    </row>
    <row r="116" spans="1:20" x14ac:dyDescent="0.35">
      <c r="A116" s="4">
        <v>9</v>
      </c>
      <c r="B116" s="14" t="s">
        <v>149</v>
      </c>
      <c r="C116" s="4">
        <f t="shared" si="23"/>
        <v>2.9767618499152921</v>
      </c>
      <c r="D116" s="4">
        <f t="shared" si="17"/>
        <v>2.2912878474779199</v>
      </c>
      <c r="E116" s="4">
        <f t="shared" si="18"/>
        <v>2</v>
      </c>
      <c r="F116" s="4">
        <f t="shared" si="19"/>
        <v>2.6457513110645907</v>
      </c>
      <c r="G116" s="4">
        <f t="shared" si="20"/>
        <v>2.7644122899166064</v>
      </c>
      <c r="H116" s="4">
        <f t="shared" si="21"/>
        <v>1.1989578808281798</v>
      </c>
      <c r="I116" s="4">
        <f t="shared" si="22"/>
        <v>2.2360679774997898</v>
      </c>
      <c r="J116" s="4">
        <f t="shared" si="24"/>
        <v>1.1989578808281798</v>
      </c>
      <c r="K116" s="4" t="str">
        <f t="shared" si="25"/>
        <v>C6</v>
      </c>
      <c r="L116" s="14">
        <f t="shared" si="26"/>
        <v>1.4374999999999998</v>
      </c>
      <c r="R116" s="72" t="s">
        <v>58</v>
      </c>
      <c r="S116" s="72">
        <v>2</v>
      </c>
      <c r="T116" s="41" t="s">
        <v>241</v>
      </c>
    </row>
    <row r="117" spans="1:20" x14ac:dyDescent="0.35">
      <c r="A117" s="43">
        <v>10</v>
      </c>
      <c r="B117" s="61" t="s">
        <v>151</v>
      </c>
      <c r="C117" s="43">
        <f t="shared" si="23"/>
        <v>1.878237944930774</v>
      </c>
      <c r="D117" s="43">
        <f t="shared" si="17"/>
        <v>2.6925824035672519</v>
      </c>
      <c r="E117" s="43">
        <f t="shared" si="18"/>
        <v>2.8284271247461903</v>
      </c>
      <c r="F117" s="43">
        <f t="shared" si="19"/>
        <v>2.8284271247461903</v>
      </c>
      <c r="G117" s="43">
        <f t="shared" si="20"/>
        <v>2.2054925823643563</v>
      </c>
      <c r="H117" s="43">
        <f t="shared" si="21"/>
        <v>3.3819373146171707</v>
      </c>
      <c r="I117" s="43">
        <f t="shared" si="22"/>
        <v>3.1622776601683795</v>
      </c>
      <c r="J117" s="43">
        <f t="shared" si="24"/>
        <v>1.878237944930774</v>
      </c>
      <c r="K117" s="43" t="str">
        <f t="shared" si="25"/>
        <v>C1</v>
      </c>
      <c r="L117" s="61">
        <f t="shared" si="26"/>
        <v>3.5277777777777772</v>
      </c>
      <c r="R117" s="72"/>
      <c r="S117" s="72"/>
      <c r="T117" s="41" t="s">
        <v>175</v>
      </c>
    </row>
    <row r="118" spans="1:20" x14ac:dyDescent="0.35">
      <c r="A118" s="4">
        <v>11</v>
      </c>
      <c r="B118" s="14" t="s">
        <v>154</v>
      </c>
      <c r="C118" s="4">
        <f t="shared" si="23"/>
        <v>2.3511226632776476</v>
      </c>
      <c r="D118" s="4">
        <f t="shared" si="17"/>
        <v>3.3541019662496847</v>
      </c>
      <c r="E118" s="4">
        <f t="shared" si="18"/>
        <v>3.1622776601683795</v>
      </c>
      <c r="F118" s="4">
        <f t="shared" si="19"/>
        <v>2.4494897427831779</v>
      </c>
      <c r="G118" s="4">
        <f t="shared" si="20"/>
        <v>1.9938176049918179</v>
      </c>
      <c r="H118" s="4">
        <f t="shared" si="21"/>
        <v>2.817356917396161</v>
      </c>
      <c r="I118" s="4">
        <f t="shared" si="22"/>
        <v>2.8284271247461903</v>
      </c>
      <c r="J118" s="4">
        <f t="shared" si="24"/>
        <v>1.9938176049918179</v>
      </c>
      <c r="K118" s="4" t="str">
        <f t="shared" si="25"/>
        <v>C5</v>
      </c>
      <c r="L118" s="14">
        <f t="shared" si="26"/>
        <v>3.975308641975309</v>
      </c>
      <c r="R118" s="41" t="s">
        <v>59</v>
      </c>
      <c r="S118" s="41">
        <v>1</v>
      </c>
      <c r="T118" s="41" t="s">
        <v>244</v>
      </c>
    </row>
    <row r="119" spans="1:20" x14ac:dyDescent="0.35">
      <c r="A119" s="4">
        <v>12</v>
      </c>
      <c r="B119" s="14" t="s">
        <v>157</v>
      </c>
      <c r="C119" s="4">
        <f t="shared" si="23"/>
        <v>1.2360330811826103</v>
      </c>
      <c r="D119" s="4">
        <f t="shared" si="17"/>
        <v>2.8722813232690143</v>
      </c>
      <c r="E119" s="4">
        <f t="shared" si="18"/>
        <v>3.4641016151377544</v>
      </c>
      <c r="F119" s="4">
        <f t="shared" si="19"/>
        <v>2.6457513110645907</v>
      </c>
      <c r="G119" s="4">
        <f t="shared" si="20"/>
        <v>2.5555555555555558</v>
      </c>
      <c r="H119" s="4">
        <f t="shared" si="21"/>
        <v>3.2307119958300214</v>
      </c>
      <c r="I119" s="4">
        <f t="shared" si="22"/>
        <v>3.3166247903553998</v>
      </c>
      <c r="J119" s="4">
        <f t="shared" si="24"/>
        <v>1.2360330811826103</v>
      </c>
      <c r="K119" s="4" t="str">
        <f t="shared" si="25"/>
        <v>C1</v>
      </c>
      <c r="L119" s="14">
        <f t="shared" si="26"/>
        <v>1.5277777777777775</v>
      </c>
      <c r="R119" s="72" t="s">
        <v>88</v>
      </c>
      <c r="S119" s="72">
        <v>8</v>
      </c>
      <c r="T119" s="41" t="s">
        <v>146</v>
      </c>
    </row>
    <row r="120" spans="1:20" x14ac:dyDescent="0.35">
      <c r="A120" s="4">
        <v>13</v>
      </c>
      <c r="B120" s="14" t="s">
        <v>160</v>
      </c>
      <c r="C120" s="4">
        <f t="shared" si="23"/>
        <v>2.6822461565718467</v>
      </c>
      <c r="D120" s="4">
        <f t="shared" si="17"/>
        <v>2.2912878474779199</v>
      </c>
      <c r="E120" s="4">
        <f t="shared" si="18"/>
        <v>2.2360679774997898</v>
      </c>
      <c r="F120" s="4">
        <f t="shared" si="19"/>
        <v>2.6457513110645907</v>
      </c>
      <c r="G120" s="4">
        <f t="shared" si="20"/>
        <v>2.8436630871266062</v>
      </c>
      <c r="H120" s="4">
        <f t="shared" si="21"/>
        <v>0.96824583655185426</v>
      </c>
      <c r="I120" s="4">
        <f t="shared" si="22"/>
        <v>2.6457513110645907</v>
      </c>
      <c r="J120" s="4">
        <f t="shared" si="24"/>
        <v>0.96824583655185426</v>
      </c>
      <c r="K120" s="4" t="str">
        <f t="shared" si="25"/>
        <v>C6</v>
      </c>
      <c r="L120" s="14">
        <f t="shared" si="26"/>
        <v>0.93750000000000011</v>
      </c>
      <c r="R120" s="72"/>
      <c r="S120" s="72"/>
      <c r="T120" s="41" t="s">
        <v>137</v>
      </c>
    </row>
    <row r="121" spans="1:20" x14ac:dyDescent="0.35">
      <c r="A121" s="4">
        <v>14</v>
      </c>
      <c r="B121" s="14" t="s">
        <v>163</v>
      </c>
      <c r="C121" s="4">
        <f t="shared" si="23"/>
        <v>2.8037673068767872</v>
      </c>
      <c r="D121" s="4">
        <f t="shared" si="17"/>
        <v>1.8027756377319946</v>
      </c>
      <c r="E121" s="4">
        <f t="shared" si="18"/>
        <v>1.7320508075688772</v>
      </c>
      <c r="F121" s="4">
        <f t="shared" si="19"/>
        <v>2.6457513110645907</v>
      </c>
      <c r="G121" s="4">
        <f t="shared" si="20"/>
        <v>2.4216105241892634</v>
      </c>
      <c r="H121" s="4">
        <f t="shared" si="21"/>
        <v>0.66143782776614768</v>
      </c>
      <c r="I121" s="4">
        <f t="shared" si="22"/>
        <v>2.2360679774997898</v>
      </c>
      <c r="J121" s="4">
        <f t="shared" si="24"/>
        <v>0.66143782776614768</v>
      </c>
      <c r="K121" s="4" t="str">
        <f t="shared" si="25"/>
        <v>C6</v>
      </c>
      <c r="L121" s="14">
        <f t="shared" si="26"/>
        <v>0.43750000000000006</v>
      </c>
      <c r="R121" s="72"/>
      <c r="S121" s="72"/>
      <c r="T121" s="41" t="s">
        <v>154</v>
      </c>
    </row>
    <row r="122" spans="1:20" x14ac:dyDescent="0.35">
      <c r="A122" s="4">
        <v>15</v>
      </c>
      <c r="B122" s="14" t="s">
        <v>166</v>
      </c>
      <c r="C122" s="4">
        <f t="shared" si="23"/>
        <v>1.7873008824606014</v>
      </c>
      <c r="D122" s="4">
        <f t="shared" si="17"/>
        <v>2.6925824035672519</v>
      </c>
      <c r="E122" s="4">
        <f t="shared" si="18"/>
        <v>2.8284271247461903</v>
      </c>
      <c r="F122" s="4">
        <f t="shared" si="19"/>
        <v>2.4494897427831779</v>
      </c>
      <c r="G122" s="4">
        <f t="shared" si="20"/>
        <v>0.44444444444444459</v>
      </c>
      <c r="H122" s="4">
        <f t="shared" si="21"/>
        <v>2.3318447632722039</v>
      </c>
      <c r="I122" s="4">
        <f t="shared" si="22"/>
        <v>2.4494897427831779</v>
      </c>
      <c r="J122" s="4">
        <f t="shared" si="24"/>
        <v>0.44444444444444459</v>
      </c>
      <c r="K122" s="4" t="str">
        <f t="shared" si="25"/>
        <v>C5</v>
      </c>
      <c r="L122" s="14">
        <f t="shared" si="26"/>
        <v>0.19753086419753099</v>
      </c>
      <c r="R122" s="72"/>
      <c r="S122" s="72"/>
      <c r="T122" s="41" t="s">
        <v>166</v>
      </c>
    </row>
    <row r="123" spans="1:20" x14ac:dyDescent="0.35">
      <c r="A123" s="4">
        <v>16</v>
      </c>
      <c r="B123" s="14" t="s">
        <v>169</v>
      </c>
      <c r="C123" s="4">
        <f t="shared" si="23"/>
        <v>2.2791323885295571</v>
      </c>
      <c r="D123" s="4">
        <f t="shared" si="17"/>
        <v>3.3541019662496847</v>
      </c>
      <c r="E123" s="4">
        <f t="shared" si="18"/>
        <v>3.1622776601683795</v>
      </c>
      <c r="F123" s="4">
        <f t="shared" si="19"/>
        <v>3</v>
      </c>
      <c r="G123" s="4">
        <f t="shared" si="20"/>
        <v>2.4216105241892634</v>
      </c>
      <c r="H123" s="4">
        <f t="shared" si="21"/>
        <v>2.6339134382131846</v>
      </c>
      <c r="I123" s="4">
        <f t="shared" si="22"/>
        <v>2.6457513110645907</v>
      </c>
      <c r="J123" s="4">
        <f t="shared" si="24"/>
        <v>2.2791323885295571</v>
      </c>
      <c r="K123" s="4" t="str">
        <f t="shared" si="25"/>
        <v>C1</v>
      </c>
      <c r="L123" s="14">
        <f t="shared" si="26"/>
        <v>5.1944444444444438</v>
      </c>
      <c r="R123" s="72"/>
      <c r="S123" s="72"/>
      <c r="T123" s="41" t="s">
        <v>181</v>
      </c>
    </row>
    <row r="124" spans="1:20" x14ac:dyDescent="0.35">
      <c r="A124" s="4">
        <v>17</v>
      </c>
      <c r="B124" s="14" t="s">
        <v>172</v>
      </c>
      <c r="C124" s="4">
        <f t="shared" si="23"/>
        <v>1.4813657362192645</v>
      </c>
      <c r="D124" s="4">
        <f t="shared" si="17"/>
        <v>2.5</v>
      </c>
      <c r="E124" s="4">
        <f t="shared" si="18"/>
        <v>3.3166247903553998</v>
      </c>
      <c r="F124" s="4">
        <f t="shared" si="19"/>
        <v>2.2360679774997898</v>
      </c>
      <c r="G124" s="4">
        <f t="shared" si="20"/>
        <v>2.1285826734075575</v>
      </c>
      <c r="H124" s="4">
        <f t="shared" si="21"/>
        <v>3.0720514318611269</v>
      </c>
      <c r="I124" s="4">
        <f t="shared" si="22"/>
        <v>2.6457513110645907</v>
      </c>
      <c r="J124" s="4">
        <f t="shared" si="24"/>
        <v>1.4813657362192645</v>
      </c>
      <c r="K124" s="4" t="str">
        <f t="shared" si="25"/>
        <v>C1</v>
      </c>
      <c r="L124" s="14">
        <f t="shared" si="26"/>
        <v>2.1944444444444433</v>
      </c>
      <c r="R124" s="72"/>
      <c r="S124" s="72"/>
      <c r="T124" s="41" t="s">
        <v>227</v>
      </c>
    </row>
    <row r="125" spans="1:20" x14ac:dyDescent="0.35">
      <c r="A125" s="4">
        <v>18</v>
      </c>
      <c r="B125" s="14" t="s">
        <v>175</v>
      </c>
      <c r="C125" s="4">
        <f t="shared" si="23"/>
        <v>3.192874010111336</v>
      </c>
      <c r="D125" s="4">
        <f t="shared" si="17"/>
        <v>2.5</v>
      </c>
      <c r="E125" s="4">
        <f t="shared" si="18"/>
        <v>1</v>
      </c>
      <c r="F125" s="4">
        <f t="shared" si="19"/>
        <v>3.1622776601683795</v>
      </c>
      <c r="G125" s="4">
        <f t="shared" si="20"/>
        <v>2.8240588949197409</v>
      </c>
      <c r="H125" s="4">
        <f t="shared" si="21"/>
        <v>1.8540496217739157</v>
      </c>
      <c r="I125" s="4">
        <f t="shared" si="22"/>
        <v>2.8284271247461903</v>
      </c>
      <c r="J125" s="4">
        <f t="shared" si="24"/>
        <v>1</v>
      </c>
      <c r="K125" s="4" t="str">
        <f t="shared" si="25"/>
        <v>C3</v>
      </c>
      <c r="L125" s="14">
        <f t="shared" si="26"/>
        <v>1</v>
      </c>
      <c r="R125" s="72"/>
      <c r="S125" s="72"/>
      <c r="T125" s="41" t="s">
        <v>253</v>
      </c>
    </row>
    <row r="126" spans="1:20" x14ac:dyDescent="0.35">
      <c r="A126" s="4">
        <v>19</v>
      </c>
      <c r="B126" s="14" t="s">
        <v>178</v>
      </c>
      <c r="C126" s="4">
        <f t="shared" si="23"/>
        <v>0.72648315725677881</v>
      </c>
      <c r="D126" s="4">
        <f t="shared" si="17"/>
        <v>2.5</v>
      </c>
      <c r="E126" s="4">
        <f t="shared" si="18"/>
        <v>3.4641016151377544</v>
      </c>
      <c r="F126" s="4">
        <f t="shared" si="19"/>
        <v>2.2360679774997898</v>
      </c>
      <c r="G126" s="4">
        <f t="shared" si="20"/>
        <v>2.2305399888760813</v>
      </c>
      <c r="H126" s="4">
        <f t="shared" si="21"/>
        <v>2.9895651857753496</v>
      </c>
      <c r="I126" s="4">
        <f t="shared" si="22"/>
        <v>3</v>
      </c>
      <c r="J126" s="4">
        <f t="shared" si="24"/>
        <v>0.72648315725677881</v>
      </c>
      <c r="K126" s="4" t="str">
        <f t="shared" si="25"/>
        <v>C1</v>
      </c>
      <c r="L126" s="14">
        <f t="shared" si="26"/>
        <v>0.52777777777777757</v>
      </c>
      <c r="R126" s="72"/>
      <c r="S126" s="72"/>
      <c r="T126" s="41" t="s">
        <v>226</v>
      </c>
    </row>
    <row r="127" spans="1:20" x14ac:dyDescent="0.35">
      <c r="A127" s="4">
        <v>20</v>
      </c>
      <c r="B127" s="14" t="s">
        <v>181</v>
      </c>
      <c r="C127" s="4">
        <f t="shared" si="23"/>
        <v>1.7873008824606014</v>
      </c>
      <c r="D127" s="4">
        <f t="shared" si="17"/>
        <v>2.6925824035672519</v>
      </c>
      <c r="E127" s="4">
        <f t="shared" si="18"/>
        <v>2.8284271247461903</v>
      </c>
      <c r="F127" s="4">
        <f t="shared" si="19"/>
        <v>2.4494897427831779</v>
      </c>
      <c r="G127" s="4">
        <f t="shared" si="20"/>
        <v>0.44444444444444459</v>
      </c>
      <c r="H127" s="4">
        <f t="shared" si="21"/>
        <v>2.3318447632722039</v>
      </c>
      <c r="I127" s="4">
        <f t="shared" si="22"/>
        <v>2.4494897427831779</v>
      </c>
      <c r="J127" s="4">
        <f t="shared" si="24"/>
        <v>0.44444444444444459</v>
      </c>
      <c r="K127" s="4" t="str">
        <f t="shared" si="25"/>
        <v>C5</v>
      </c>
      <c r="L127" s="14">
        <f t="shared" si="26"/>
        <v>0.19753086419753099</v>
      </c>
      <c r="R127" s="72" t="s">
        <v>184</v>
      </c>
      <c r="S127" s="72">
        <v>4</v>
      </c>
      <c r="T127" s="41" t="s">
        <v>140</v>
      </c>
    </row>
    <row r="128" spans="1:20" x14ac:dyDescent="0.35">
      <c r="A128" s="4">
        <v>21</v>
      </c>
      <c r="B128" s="14" t="s">
        <v>227</v>
      </c>
      <c r="C128" s="4">
        <f t="shared" si="23"/>
        <v>3.244653722321964</v>
      </c>
      <c r="D128" s="4">
        <f t="shared" si="17"/>
        <v>4.0311288741492746</v>
      </c>
      <c r="E128" s="4">
        <f t="shared" si="18"/>
        <v>4.5825756949558398</v>
      </c>
      <c r="F128" s="4">
        <f t="shared" si="19"/>
        <v>4</v>
      </c>
      <c r="G128" s="4">
        <f t="shared" si="20"/>
        <v>2.4444444444444446</v>
      </c>
      <c r="H128" s="4">
        <f t="shared" si="21"/>
        <v>4.0543186850567139</v>
      </c>
      <c r="I128" s="4">
        <f t="shared" si="22"/>
        <v>4.2426406871192848</v>
      </c>
      <c r="J128" s="4">
        <f t="shared" si="24"/>
        <v>2.4444444444444446</v>
      </c>
      <c r="K128" s="4" t="str">
        <f t="shared" si="25"/>
        <v>C5</v>
      </c>
      <c r="L128" s="14">
        <f t="shared" si="26"/>
        <v>5.9753086419753094</v>
      </c>
      <c r="R128" s="72"/>
      <c r="S128" s="72"/>
      <c r="T128" s="41" t="s">
        <v>149</v>
      </c>
    </row>
    <row r="129" spans="1:20" x14ac:dyDescent="0.35">
      <c r="A129" s="4">
        <v>22</v>
      </c>
      <c r="B129" s="14" t="s">
        <v>224</v>
      </c>
      <c r="C129" s="4">
        <f t="shared" si="23"/>
        <v>1.7873008824606011</v>
      </c>
      <c r="D129" s="4">
        <f t="shared" si="17"/>
        <v>2.5</v>
      </c>
      <c r="E129" s="4">
        <f t="shared" si="18"/>
        <v>3.6055512754639891</v>
      </c>
      <c r="F129" s="4">
        <f t="shared" si="19"/>
        <v>2.6457513110645907</v>
      </c>
      <c r="G129" s="4">
        <f t="shared" si="20"/>
        <v>2.1285826734075575</v>
      </c>
      <c r="H129" s="4">
        <f t="shared" si="21"/>
        <v>3.2307119958300214</v>
      </c>
      <c r="I129" s="4">
        <f t="shared" si="22"/>
        <v>3.3166247903553998</v>
      </c>
      <c r="J129" s="4">
        <f t="shared" si="24"/>
        <v>1.7873008824606011</v>
      </c>
      <c r="K129" s="4" t="str">
        <f t="shared" si="25"/>
        <v>C1</v>
      </c>
      <c r="L129" s="14">
        <f t="shared" si="26"/>
        <v>3.1944444444444438</v>
      </c>
      <c r="R129" s="72"/>
      <c r="S129" s="72"/>
      <c r="T129" s="41" t="s">
        <v>160</v>
      </c>
    </row>
    <row r="130" spans="1:20" x14ac:dyDescent="0.35">
      <c r="A130" s="4">
        <v>23</v>
      </c>
      <c r="B130" s="14" t="s">
        <v>248</v>
      </c>
      <c r="C130" s="4">
        <f t="shared" si="23"/>
        <v>3.8550111687401261</v>
      </c>
      <c r="D130" s="4">
        <f t="shared" si="17"/>
        <v>4.5</v>
      </c>
      <c r="E130" s="4">
        <f t="shared" si="18"/>
        <v>4.7958315233127191</v>
      </c>
      <c r="F130" s="4">
        <f t="shared" si="19"/>
        <v>4.358898943540674</v>
      </c>
      <c r="G130" s="4">
        <f t="shared" si="20"/>
        <v>2.6410809608899362</v>
      </c>
      <c r="H130" s="4">
        <f t="shared" si="21"/>
        <v>4.235268586524354</v>
      </c>
      <c r="I130" s="4">
        <f t="shared" si="22"/>
        <v>4.1231056256176606</v>
      </c>
      <c r="J130" s="4">
        <f t="shared" si="24"/>
        <v>2.6410809608899362</v>
      </c>
      <c r="K130" s="4" t="str">
        <f t="shared" si="25"/>
        <v>C5</v>
      </c>
      <c r="L130" s="14">
        <f t="shared" si="26"/>
        <v>6.9753086419753085</v>
      </c>
      <c r="R130" s="106"/>
      <c r="S130" s="106"/>
      <c r="T130" s="41" t="s">
        <v>163</v>
      </c>
    </row>
    <row r="131" spans="1:20" x14ac:dyDescent="0.35">
      <c r="A131" s="4">
        <v>24</v>
      </c>
      <c r="B131" s="14" t="s">
        <v>226</v>
      </c>
      <c r="C131" s="4">
        <f t="shared" si="23"/>
        <v>2.4888640871780132</v>
      </c>
      <c r="D131" s="4">
        <f t="shared" si="17"/>
        <v>3.3541019662496847</v>
      </c>
      <c r="E131" s="4">
        <f t="shared" si="18"/>
        <v>3.4641016151377544</v>
      </c>
      <c r="F131" s="4">
        <f t="shared" si="19"/>
        <v>2.8284271247461903</v>
      </c>
      <c r="G131" s="4">
        <f t="shared" si="20"/>
        <v>1.9372884193514106</v>
      </c>
      <c r="H131" s="4">
        <f t="shared" si="21"/>
        <v>2.9047375096555625</v>
      </c>
      <c r="I131" s="4">
        <f t="shared" si="22"/>
        <v>3.1622776601683795</v>
      </c>
      <c r="J131" s="4">
        <f t="shared" si="24"/>
        <v>1.9372884193514106</v>
      </c>
      <c r="K131" s="4" t="str">
        <f t="shared" si="25"/>
        <v>C5</v>
      </c>
      <c r="L131" s="14">
        <f t="shared" si="26"/>
        <v>3.7530864197530871</v>
      </c>
      <c r="R131" s="4" t="s">
        <v>185</v>
      </c>
      <c r="S131" s="4">
        <v>1</v>
      </c>
      <c r="T131" s="4" t="s">
        <v>143</v>
      </c>
    </row>
    <row r="132" spans="1:20" x14ac:dyDescent="0.35">
      <c r="A132" s="4">
        <v>25</v>
      </c>
      <c r="B132" s="14" t="s">
        <v>225</v>
      </c>
      <c r="C132" s="4">
        <f t="shared" si="23"/>
        <v>2.2791323885295567</v>
      </c>
      <c r="D132" s="4">
        <f t="shared" si="17"/>
        <v>0.5</v>
      </c>
      <c r="E132" s="4">
        <f t="shared" si="18"/>
        <v>2.4494897427831779</v>
      </c>
      <c r="F132" s="4">
        <f t="shared" si="19"/>
        <v>2.2360679774997898</v>
      </c>
      <c r="G132" s="4">
        <f t="shared" si="20"/>
        <v>2.6828214372554751</v>
      </c>
      <c r="H132" s="4">
        <f t="shared" si="21"/>
        <v>2.1065374432940898</v>
      </c>
      <c r="I132" s="4">
        <f t="shared" si="22"/>
        <v>2.6457513110645907</v>
      </c>
      <c r="J132" s="4">
        <f t="shared" si="24"/>
        <v>0.5</v>
      </c>
      <c r="K132" s="4" t="str">
        <f t="shared" si="25"/>
        <v>C2</v>
      </c>
      <c r="L132" s="14">
        <f t="shared" si="26"/>
        <v>0.25</v>
      </c>
    </row>
    <row r="134" spans="1:20" ht="15" thickBot="1" x14ac:dyDescent="0.4">
      <c r="A134" s="70" t="s">
        <v>96</v>
      </c>
      <c r="B134" s="70"/>
      <c r="C134" s="70"/>
      <c r="D134" s="70"/>
      <c r="E134" s="70"/>
      <c r="F134" s="70"/>
      <c r="G134" s="70"/>
      <c r="H134" s="70"/>
      <c r="I134" s="70"/>
      <c r="J134" s="70"/>
      <c r="K134" s="70"/>
      <c r="L134" s="70"/>
      <c r="M134" s="70"/>
      <c r="N134" s="70"/>
      <c r="O134" s="70"/>
      <c r="P134" s="70"/>
      <c r="Q134" s="70"/>
      <c r="R134" s="70"/>
    </row>
    <row r="135" spans="1:20" ht="16" thickBot="1" x14ac:dyDescent="0.4">
      <c r="A135" s="59" t="s">
        <v>87</v>
      </c>
      <c r="B135" s="47" t="s">
        <v>192</v>
      </c>
      <c r="C135" s="48" t="s">
        <v>193</v>
      </c>
      <c r="D135" s="48" t="s">
        <v>194</v>
      </c>
      <c r="E135" s="48" t="s">
        <v>195</v>
      </c>
      <c r="F135" s="48" t="s">
        <v>196</v>
      </c>
      <c r="G135" s="48" t="s">
        <v>197</v>
      </c>
      <c r="H135" s="48" t="s">
        <v>198</v>
      </c>
      <c r="I135" s="48" t="s">
        <v>199</v>
      </c>
      <c r="J135" s="48" t="s">
        <v>200</v>
      </c>
      <c r="K135" s="48" t="s">
        <v>201</v>
      </c>
      <c r="L135" s="48" t="s">
        <v>202</v>
      </c>
      <c r="M135" s="48" t="s">
        <v>203</v>
      </c>
      <c r="N135" s="48" t="s">
        <v>204</v>
      </c>
      <c r="O135" s="48" t="s">
        <v>205</v>
      </c>
      <c r="P135" s="48" t="s">
        <v>206</v>
      </c>
      <c r="Q135" s="48" t="s">
        <v>207</v>
      </c>
      <c r="R135" s="48" t="s">
        <v>208</v>
      </c>
    </row>
    <row r="136" spans="1:20" x14ac:dyDescent="0.35">
      <c r="A136" s="4" t="s">
        <v>49</v>
      </c>
      <c r="B136" s="28">
        <f>AVERAGEIFS(B$30:B$54,$K$108:$K$132, "C1")</f>
        <v>2.8571428571428572</v>
      </c>
      <c r="C136" s="28">
        <f t="shared" ref="C136:R136" si="27">AVERAGEIFS(C$30:C$54,$K$108:$K$132, "C1")</f>
        <v>2.2857142857142856</v>
      </c>
      <c r="D136" s="28">
        <f t="shared" si="27"/>
        <v>2</v>
      </c>
      <c r="E136" s="28">
        <f t="shared" si="27"/>
        <v>2.2857142857142856</v>
      </c>
      <c r="F136" s="28">
        <f t="shared" si="27"/>
        <v>2</v>
      </c>
      <c r="G136" s="28">
        <f t="shared" si="27"/>
        <v>2.5714285714285716</v>
      </c>
      <c r="H136" s="28">
        <f t="shared" si="27"/>
        <v>2</v>
      </c>
      <c r="I136" s="28">
        <f t="shared" si="27"/>
        <v>2.8571428571428572</v>
      </c>
      <c r="J136" s="28">
        <f t="shared" si="27"/>
        <v>2.1428571428571428</v>
      </c>
      <c r="K136" s="28">
        <f t="shared" si="27"/>
        <v>2.2857142857142856</v>
      </c>
      <c r="L136" s="28">
        <f t="shared" si="27"/>
        <v>2.5714285714285716</v>
      </c>
      <c r="M136" s="28">
        <f t="shared" si="27"/>
        <v>2</v>
      </c>
      <c r="N136" s="28">
        <f t="shared" si="27"/>
        <v>2</v>
      </c>
      <c r="O136" s="28">
        <f t="shared" si="27"/>
        <v>2</v>
      </c>
      <c r="P136" s="28">
        <f t="shared" si="27"/>
        <v>2.1428571428571428</v>
      </c>
      <c r="Q136" s="28">
        <f t="shared" si="27"/>
        <v>2.8571428571428572</v>
      </c>
      <c r="R136" s="28">
        <f t="shared" si="27"/>
        <v>2.1428571428571428</v>
      </c>
    </row>
    <row r="137" spans="1:20" x14ac:dyDescent="0.35">
      <c r="A137" s="4" t="s">
        <v>53</v>
      </c>
      <c r="B137" s="4">
        <f>AVERAGEIFS(B$30:B$54,$K$108:$K$132, "C2")</f>
        <v>3</v>
      </c>
      <c r="C137" s="4">
        <f t="shared" ref="C137:R137" si="28">AVERAGEIFS(C$30:C$54,$K$108:$K$132, "C2")</f>
        <v>2</v>
      </c>
      <c r="D137" s="4">
        <f t="shared" si="28"/>
        <v>3</v>
      </c>
      <c r="E137" s="4">
        <f t="shared" si="28"/>
        <v>2</v>
      </c>
      <c r="F137" s="4">
        <f t="shared" si="28"/>
        <v>3</v>
      </c>
      <c r="G137" s="4">
        <f t="shared" si="28"/>
        <v>2</v>
      </c>
      <c r="H137" s="4">
        <f t="shared" si="28"/>
        <v>2</v>
      </c>
      <c r="I137" s="4">
        <f t="shared" si="28"/>
        <v>3</v>
      </c>
      <c r="J137" s="4">
        <f t="shared" si="28"/>
        <v>2</v>
      </c>
      <c r="K137" s="4">
        <f t="shared" si="28"/>
        <v>2</v>
      </c>
      <c r="L137" s="4">
        <f t="shared" si="28"/>
        <v>2</v>
      </c>
      <c r="M137" s="4">
        <f t="shared" si="28"/>
        <v>3</v>
      </c>
      <c r="N137" s="4">
        <f t="shared" si="28"/>
        <v>2</v>
      </c>
      <c r="O137" s="4">
        <f t="shared" si="28"/>
        <v>3</v>
      </c>
      <c r="P137" s="4">
        <f t="shared" si="28"/>
        <v>2.5</v>
      </c>
      <c r="Q137" s="4">
        <f t="shared" si="28"/>
        <v>3</v>
      </c>
      <c r="R137" s="4">
        <f t="shared" si="28"/>
        <v>2</v>
      </c>
    </row>
    <row r="138" spans="1:20" x14ac:dyDescent="0.35">
      <c r="A138" s="4" t="s">
        <v>58</v>
      </c>
      <c r="B138" s="4">
        <f>AVERAGEIFS(B$30:B$54,$K$108:$K$132, "C3")</f>
        <v>2</v>
      </c>
      <c r="C138" s="4">
        <f t="shared" ref="C138:R138" si="29">AVERAGEIFS(C$30:C$54,$K$108:$K$132, "C3")</f>
        <v>2.5</v>
      </c>
      <c r="D138" s="4">
        <f t="shared" si="29"/>
        <v>3</v>
      </c>
      <c r="E138" s="4">
        <f t="shared" si="29"/>
        <v>2.5</v>
      </c>
      <c r="F138" s="4">
        <f t="shared" si="29"/>
        <v>3</v>
      </c>
      <c r="G138" s="4">
        <f t="shared" si="29"/>
        <v>2</v>
      </c>
      <c r="H138" s="4">
        <f t="shared" si="29"/>
        <v>2.5</v>
      </c>
      <c r="I138" s="4">
        <f t="shared" si="29"/>
        <v>2.5</v>
      </c>
      <c r="J138" s="4">
        <f t="shared" si="29"/>
        <v>2</v>
      </c>
      <c r="K138" s="4">
        <f t="shared" si="29"/>
        <v>3</v>
      </c>
      <c r="L138" s="4">
        <f t="shared" si="29"/>
        <v>2</v>
      </c>
      <c r="M138" s="4">
        <f t="shared" si="29"/>
        <v>3</v>
      </c>
      <c r="N138" s="4">
        <f t="shared" si="29"/>
        <v>2</v>
      </c>
      <c r="O138" s="4">
        <f t="shared" si="29"/>
        <v>3</v>
      </c>
      <c r="P138" s="4">
        <f t="shared" si="29"/>
        <v>3</v>
      </c>
      <c r="Q138" s="4">
        <f t="shared" si="29"/>
        <v>2</v>
      </c>
      <c r="R138" s="4">
        <f t="shared" si="29"/>
        <v>3</v>
      </c>
    </row>
    <row r="139" spans="1:20" x14ac:dyDescent="0.35">
      <c r="A139" s="4" t="s">
        <v>59</v>
      </c>
      <c r="B139" s="4">
        <f>AVERAGEIFS(B$30:B$54,$K$108:$K$132, "C4")</f>
        <v>3</v>
      </c>
      <c r="C139" s="4">
        <f t="shared" ref="C139:R139" si="30">AVERAGEIFS(C$30:C$54,$K$108:$K$132, "C4")</f>
        <v>2</v>
      </c>
      <c r="D139" s="4">
        <f t="shared" si="30"/>
        <v>3</v>
      </c>
      <c r="E139" s="4">
        <f t="shared" si="30"/>
        <v>2</v>
      </c>
      <c r="F139" s="4">
        <f t="shared" si="30"/>
        <v>3</v>
      </c>
      <c r="G139" s="4">
        <f t="shared" si="30"/>
        <v>2</v>
      </c>
      <c r="H139" s="4">
        <f t="shared" si="30"/>
        <v>2</v>
      </c>
      <c r="I139" s="4">
        <f t="shared" si="30"/>
        <v>2</v>
      </c>
      <c r="J139" s="4">
        <f t="shared" si="30"/>
        <v>3</v>
      </c>
      <c r="K139" s="4">
        <f t="shared" si="30"/>
        <v>2</v>
      </c>
      <c r="L139" s="4">
        <f t="shared" si="30"/>
        <v>3</v>
      </c>
      <c r="M139" s="4">
        <f t="shared" si="30"/>
        <v>2</v>
      </c>
      <c r="N139" s="4">
        <f t="shared" si="30"/>
        <v>2</v>
      </c>
      <c r="O139" s="4">
        <f t="shared" si="30"/>
        <v>2</v>
      </c>
      <c r="P139" s="4">
        <f t="shared" si="30"/>
        <v>2</v>
      </c>
      <c r="Q139" s="4">
        <f t="shared" si="30"/>
        <v>3</v>
      </c>
      <c r="R139" s="4">
        <f t="shared" si="30"/>
        <v>2</v>
      </c>
    </row>
    <row r="140" spans="1:20" x14ac:dyDescent="0.35">
      <c r="A140" s="4" t="s">
        <v>88</v>
      </c>
      <c r="B140" s="28">
        <f>AVERAGEIFS(B$30:B$54,$K$108:$K$132, "C5")</f>
        <v>1.875</v>
      </c>
      <c r="C140" s="28">
        <f t="shared" ref="C140:R140" si="31">AVERAGEIFS(C$30:C$54,$K$108:$K$132, "C5")</f>
        <v>2</v>
      </c>
      <c r="D140" s="28">
        <f t="shared" si="31"/>
        <v>1.875</v>
      </c>
      <c r="E140" s="28">
        <f t="shared" si="31"/>
        <v>2.125</v>
      </c>
      <c r="F140" s="28">
        <f t="shared" si="31"/>
        <v>1.875</v>
      </c>
      <c r="G140" s="28">
        <f t="shared" si="31"/>
        <v>1.875</v>
      </c>
      <c r="H140" s="28">
        <f t="shared" si="31"/>
        <v>2</v>
      </c>
      <c r="I140" s="28">
        <f t="shared" si="31"/>
        <v>2</v>
      </c>
      <c r="J140" s="28">
        <f t="shared" si="31"/>
        <v>2.125</v>
      </c>
      <c r="K140" s="28">
        <f t="shared" si="31"/>
        <v>2</v>
      </c>
      <c r="L140" s="28">
        <f t="shared" si="31"/>
        <v>2</v>
      </c>
      <c r="M140" s="28">
        <f t="shared" si="31"/>
        <v>2.125</v>
      </c>
      <c r="N140" s="28">
        <f t="shared" si="31"/>
        <v>1.875</v>
      </c>
      <c r="O140" s="28">
        <f t="shared" si="31"/>
        <v>1.875</v>
      </c>
      <c r="P140" s="28">
        <f t="shared" si="31"/>
        <v>1.875</v>
      </c>
      <c r="Q140" s="28">
        <f t="shared" si="31"/>
        <v>2</v>
      </c>
      <c r="R140" s="28">
        <f t="shared" si="31"/>
        <v>2</v>
      </c>
    </row>
    <row r="141" spans="1:20" x14ac:dyDescent="0.35">
      <c r="A141" s="4" t="s">
        <v>184</v>
      </c>
      <c r="B141" s="4">
        <f>AVERAGEIFS(B$30:B$54,$K$108:$K$132, "C6")</f>
        <v>2</v>
      </c>
      <c r="C141" s="4">
        <f t="shared" ref="C141:R141" si="32">AVERAGEIFS(C$30:C$54,$K$108:$K$132, "C6")</f>
        <v>2.25</v>
      </c>
      <c r="D141" s="4">
        <f t="shared" si="32"/>
        <v>3</v>
      </c>
      <c r="E141" s="4">
        <f t="shared" si="32"/>
        <v>2</v>
      </c>
      <c r="F141" s="4">
        <f t="shared" si="32"/>
        <v>3</v>
      </c>
      <c r="G141" s="4">
        <f t="shared" si="32"/>
        <v>2.25</v>
      </c>
      <c r="H141" s="4">
        <f t="shared" si="32"/>
        <v>2</v>
      </c>
      <c r="I141" s="4">
        <f t="shared" si="32"/>
        <v>2</v>
      </c>
      <c r="J141" s="4">
        <f t="shared" si="32"/>
        <v>2.25</v>
      </c>
      <c r="K141" s="4">
        <f t="shared" si="32"/>
        <v>2</v>
      </c>
      <c r="L141" s="4">
        <f t="shared" si="32"/>
        <v>2.5</v>
      </c>
      <c r="M141" s="4">
        <f t="shared" si="32"/>
        <v>3</v>
      </c>
      <c r="N141" s="4">
        <f t="shared" si="32"/>
        <v>2</v>
      </c>
      <c r="O141" s="4">
        <f t="shared" si="32"/>
        <v>3</v>
      </c>
      <c r="P141" s="4">
        <f t="shared" si="32"/>
        <v>3</v>
      </c>
      <c r="Q141" s="4">
        <f t="shared" si="32"/>
        <v>2</v>
      </c>
      <c r="R141" s="4">
        <f t="shared" si="32"/>
        <v>2</v>
      </c>
    </row>
    <row r="142" spans="1:20" x14ac:dyDescent="0.35">
      <c r="A142" s="4" t="s">
        <v>185</v>
      </c>
      <c r="B142" s="4">
        <f>AVERAGEIFS(B$30:B$54,$K$108:$K$132, "C7")</f>
        <v>3</v>
      </c>
      <c r="C142" s="4">
        <f t="shared" ref="C142:R142" si="33">AVERAGEIFS(C$30:C$54,$K$108:$K$132, "C7")</f>
        <v>2</v>
      </c>
      <c r="D142" s="4">
        <f t="shared" si="33"/>
        <v>3</v>
      </c>
      <c r="E142" s="4">
        <f t="shared" si="33"/>
        <v>2</v>
      </c>
      <c r="F142" s="4">
        <f t="shared" si="33"/>
        <v>3</v>
      </c>
      <c r="G142" s="4">
        <f t="shared" si="33"/>
        <v>2</v>
      </c>
      <c r="H142" s="4">
        <f t="shared" si="33"/>
        <v>3</v>
      </c>
      <c r="I142" s="4">
        <f t="shared" si="33"/>
        <v>2</v>
      </c>
      <c r="J142" s="4">
        <f t="shared" si="33"/>
        <v>3</v>
      </c>
      <c r="K142" s="4">
        <f t="shared" si="33"/>
        <v>2</v>
      </c>
      <c r="L142" s="4">
        <f t="shared" si="33"/>
        <v>2</v>
      </c>
      <c r="M142" s="4">
        <f t="shared" si="33"/>
        <v>2</v>
      </c>
      <c r="N142" s="4">
        <f t="shared" si="33"/>
        <v>2</v>
      </c>
      <c r="O142" s="4">
        <f t="shared" si="33"/>
        <v>2</v>
      </c>
      <c r="P142" s="4">
        <f t="shared" si="33"/>
        <v>3</v>
      </c>
      <c r="Q142" s="4">
        <f t="shared" si="33"/>
        <v>2</v>
      </c>
      <c r="R142" s="4">
        <f t="shared" si="33"/>
        <v>2</v>
      </c>
    </row>
    <row r="145" spans="1:21" x14ac:dyDescent="0.35">
      <c r="A145" s="70" t="s">
        <v>254</v>
      </c>
      <c r="B145" s="70"/>
      <c r="C145" s="70"/>
      <c r="D145" s="70"/>
      <c r="E145" s="70"/>
      <c r="F145" s="70"/>
      <c r="G145" s="70"/>
      <c r="H145" s="70"/>
      <c r="I145" s="70"/>
      <c r="J145" s="70"/>
      <c r="K145" s="70"/>
      <c r="L145" s="70"/>
      <c r="M145" s="70"/>
      <c r="R145" s="42" t="s">
        <v>186</v>
      </c>
      <c r="S145" s="42" t="s">
        <v>187</v>
      </c>
      <c r="T145" s="42" t="s">
        <v>188</v>
      </c>
      <c r="U145" s="42" t="s">
        <v>259</v>
      </c>
    </row>
    <row r="146" spans="1:21" x14ac:dyDescent="0.35">
      <c r="A146" s="43" t="s">
        <v>236</v>
      </c>
      <c r="B146" s="59" t="s">
        <v>106</v>
      </c>
      <c r="C146" s="59" t="s">
        <v>49</v>
      </c>
      <c r="D146" s="59" t="s">
        <v>53</v>
      </c>
      <c r="E146" s="59" t="s">
        <v>58</v>
      </c>
      <c r="F146" s="59" t="s">
        <v>59</v>
      </c>
      <c r="G146" s="59" t="s">
        <v>88</v>
      </c>
      <c r="H146" s="59" t="s">
        <v>184</v>
      </c>
      <c r="I146" s="59" t="s">
        <v>185</v>
      </c>
      <c r="J146" s="42" t="s">
        <v>86</v>
      </c>
      <c r="K146" s="42" t="s">
        <v>87</v>
      </c>
      <c r="L146" s="42" t="s">
        <v>104</v>
      </c>
      <c r="M146" s="42" t="s">
        <v>191</v>
      </c>
      <c r="R146" s="72" t="s">
        <v>49</v>
      </c>
      <c r="S146" s="72">
        <v>7</v>
      </c>
      <c r="T146" s="4" t="s">
        <v>130</v>
      </c>
      <c r="U146" s="72" t="s">
        <v>228</v>
      </c>
    </row>
    <row r="147" spans="1:21" x14ac:dyDescent="0.35">
      <c r="A147" s="4">
        <v>1</v>
      </c>
      <c r="B147" s="14" t="s">
        <v>130</v>
      </c>
      <c r="C147" s="4">
        <f t="shared" ref="C147:C171" si="34">SQRT(SUMXMY2(B30:R30, $B$136:$R$136))</f>
        <v>1.0785477764672498</v>
      </c>
      <c r="D147" s="4">
        <f t="shared" ref="D147:D171" si="35">SQRT(SUMXMY2(B30:R30, $B$137:$R$137))</f>
        <v>2.6925824035672519</v>
      </c>
      <c r="E147" s="4">
        <f t="shared" ref="E147:E171" si="36">SQRT(SUMXMY2(B30:R30, $B$138:$R$138))</f>
        <v>3.3166247903553998</v>
      </c>
      <c r="F147" s="4">
        <f t="shared" ref="F147:F171" si="37">SQRT(SUMXMY2(B30:R30, $B$139:$R$139))</f>
        <v>2.4494897427831779</v>
      </c>
      <c r="G147" s="4">
        <f t="shared" ref="G147:G171" si="38">SQRT(SUMXMY2(B30:R30, $B$140:$R$140))</f>
        <v>2.5799709300687867</v>
      </c>
      <c r="H147" s="4">
        <f t="shared" ref="H147:H171" si="39">SQRT(SUMXMY2(B30:R30, $B$141:$R$141))</f>
        <v>3.1523800532296229</v>
      </c>
      <c r="I147" s="4">
        <f t="shared" ref="I147:I171" si="40">SQRT(SUMXMY2(B30:R30, $B$142:$R$142))</f>
        <v>3.1622776601683795</v>
      </c>
      <c r="J147" s="4">
        <f>MIN(C147:I147)</f>
        <v>1.0785477764672498</v>
      </c>
      <c r="K147" s="4" t="str">
        <f>"C"&amp;MATCH(J147,C147:I147,0)</f>
        <v>C1</v>
      </c>
      <c r="L147" s="14">
        <f>J147^2</f>
        <v>1.1632653061224485</v>
      </c>
      <c r="M147" s="14">
        <f>SUM(L147:L171)</f>
        <v>47.357142857142854</v>
      </c>
      <c r="R147" s="72"/>
      <c r="S147" s="72"/>
      <c r="T147" s="4" t="s">
        <v>157</v>
      </c>
      <c r="U147" s="72"/>
    </row>
    <row r="148" spans="1:21" x14ac:dyDescent="0.35">
      <c r="A148" s="4">
        <v>2</v>
      </c>
      <c r="B148" s="14" t="s">
        <v>134</v>
      </c>
      <c r="C148" s="4">
        <f t="shared" si="34"/>
        <v>2.3947220877486015</v>
      </c>
      <c r="D148" s="4">
        <f t="shared" si="35"/>
        <v>0.5</v>
      </c>
      <c r="E148" s="4">
        <f t="shared" si="36"/>
        <v>2.2360679774997898</v>
      </c>
      <c r="F148" s="4">
        <f t="shared" si="37"/>
        <v>2.4494897427831779</v>
      </c>
      <c r="G148" s="4">
        <f t="shared" si="38"/>
        <v>3.0259296092275512</v>
      </c>
      <c r="H148" s="4">
        <f t="shared" si="39"/>
        <v>1.8540496217739157</v>
      </c>
      <c r="I148" s="4">
        <f t="shared" si="40"/>
        <v>2.4494897427831779</v>
      </c>
      <c r="J148" s="4">
        <f t="shared" ref="J148:J171" si="41">MIN(C148:I148)</f>
        <v>0.5</v>
      </c>
      <c r="K148" s="4" t="str">
        <f t="shared" ref="K148:K171" si="42">"C"&amp;MATCH(J148,C148:I148,0)</f>
        <v>C2</v>
      </c>
      <c r="L148" s="14">
        <f t="shared" ref="L148:L168" si="43">J148^2</f>
        <v>0.25</v>
      </c>
      <c r="R148" s="72"/>
      <c r="S148" s="72"/>
      <c r="T148" s="4" t="s">
        <v>172</v>
      </c>
      <c r="U148" s="72"/>
    </row>
    <row r="149" spans="1:21" x14ac:dyDescent="0.35">
      <c r="A149" s="4">
        <v>3</v>
      </c>
      <c r="B149" s="14" t="s">
        <v>241</v>
      </c>
      <c r="C149" s="4">
        <f t="shared" si="34"/>
        <v>3.1200470954059365</v>
      </c>
      <c r="D149" s="4">
        <f t="shared" si="35"/>
        <v>2.5</v>
      </c>
      <c r="E149" s="4">
        <f t="shared" si="36"/>
        <v>1</v>
      </c>
      <c r="F149" s="4">
        <f t="shared" si="37"/>
        <v>3.4641016151377544</v>
      </c>
      <c r="G149" s="4">
        <f t="shared" si="38"/>
        <v>3.3024612034057266</v>
      </c>
      <c r="H149" s="4">
        <f t="shared" si="39"/>
        <v>2.2220486043288972</v>
      </c>
      <c r="I149" s="4">
        <f t="shared" si="40"/>
        <v>2.8284271247461903</v>
      </c>
      <c r="J149" s="4">
        <f t="shared" si="41"/>
        <v>1</v>
      </c>
      <c r="K149" s="4" t="str">
        <f t="shared" si="42"/>
        <v>C3</v>
      </c>
      <c r="L149" s="14">
        <f t="shared" si="43"/>
        <v>1</v>
      </c>
      <c r="R149" s="72"/>
      <c r="S149" s="72"/>
      <c r="T149" s="4" t="s">
        <v>178</v>
      </c>
      <c r="U149" s="72"/>
    </row>
    <row r="150" spans="1:21" x14ac:dyDescent="0.35">
      <c r="A150" s="4">
        <v>4</v>
      </c>
      <c r="B150" s="14" t="s">
        <v>244</v>
      </c>
      <c r="C150" s="4">
        <f t="shared" si="34"/>
        <v>2.075119863761993</v>
      </c>
      <c r="D150" s="4">
        <f t="shared" si="35"/>
        <v>2.2912878474779199</v>
      </c>
      <c r="E150" s="4">
        <f t="shared" si="36"/>
        <v>3.1622776601683795</v>
      </c>
      <c r="F150" s="4">
        <f t="shared" si="37"/>
        <v>0</v>
      </c>
      <c r="G150" s="4">
        <f t="shared" si="38"/>
        <v>2.5799709300687867</v>
      </c>
      <c r="H150" s="4">
        <f t="shared" si="39"/>
        <v>2.4366985862022408</v>
      </c>
      <c r="I150" s="4">
        <f t="shared" si="40"/>
        <v>2</v>
      </c>
      <c r="J150" s="4">
        <f t="shared" si="41"/>
        <v>0</v>
      </c>
      <c r="K150" s="4" t="str">
        <f t="shared" si="42"/>
        <v>C4</v>
      </c>
      <c r="L150" s="14">
        <f t="shared" si="43"/>
        <v>0</v>
      </c>
      <c r="R150" s="72"/>
      <c r="S150" s="72"/>
      <c r="T150" s="4" t="s">
        <v>224</v>
      </c>
      <c r="U150" s="72"/>
    </row>
    <row r="151" spans="1:21" x14ac:dyDescent="0.35">
      <c r="A151" s="4">
        <v>5</v>
      </c>
      <c r="B151" s="14" t="s">
        <v>137</v>
      </c>
      <c r="C151" s="4">
        <f t="shared" si="34"/>
        <v>2.1759351731039738</v>
      </c>
      <c r="D151" s="4">
        <f t="shared" si="35"/>
        <v>3.2015621187164243</v>
      </c>
      <c r="E151" s="4">
        <f t="shared" si="36"/>
        <v>2.4494897427831779</v>
      </c>
      <c r="F151" s="4">
        <f t="shared" si="37"/>
        <v>3</v>
      </c>
      <c r="G151" s="4">
        <f t="shared" si="38"/>
        <v>1.7047727121232319</v>
      </c>
      <c r="H151" s="4">
        <f t="shared" si="39"/>
        <v>2.9047375096555625</v>
      </c>
      <c r="I151" s="4">
        <f t="shared" si="40"/>
        <v>3</v>
      </c>
      <c r="J151" s="4">
        <f t="shared" si="41"/>
        <v>1.7047727121232319</v>
      </c>
      <c r="K151" s="4" t="str">
        <f t="shared" si="42"/>
        <v>C5</v>
      </c>
      <c r="L151" s="14">
        <f t="shared" si="43"/>
        <v>2.9062499999999996</v>
      </c>
      <c r="R151" s="72"/>
      <c r="S151" s="72"/>
      <c r="T151" s="41" t="s">
        <v>169</v>
      </c>
      <c r="U151" s="72"/>
    </row>
    <row r="152" spans="1:21" x14ac:dyDescent="0.35">
      <c r="A152" s="4">
        <v>6</v>
      </c>
      <c r="B152" s="14" t="s">
        <v>140</v>
      </c>
      <c r="C152" s="4">
        <f t="shared" si="34"/>
        <v>2.7811317619902551</v>
      </c>
      <c r="D152" s="4">
        <f t="shared" si="35"/>
        <v>2.0615528128088303</v>
      </c>
      <c r="E152" s="4">
        <f t="shared" si="36"/>
        <v>2</v>
      </c>
      <c r="F152" s="4">
        <f t="shared" si="37"/>
        <v>2.4494897427831779</v>
      </c>
      <c r="G152" s="4">
        <f t="shared" si="38"/>
        <v>2.6279745052035799</v>
      </c>
      <c r="H152" s="4">
        <f t="shared" si="39"/>
        <v>0.66143782776614768</v>
      </c>
      <c r="I152" s="4">
        <f t="shared" si="40"/>
        <v>2.4494897427831779</v>
      </c>
      <c r="J152" s="4">
        <f t="shared" si="41"/>
        <v>0.66143782776614768</v>
      </c>
      <c r="K152" s="4" t="str">
        <f t="shared" si="42"/>
        <v>C6</v>
      </c>
      <c r="L152" s="14">
        <f t="shared" si="43"/>
        <v>0.43750000000000006</v>
      </c>
      <c r="R152" s="72"/>
      <c r="S152" s="72"/>
      <c r="T152" s="4" t="s">
        <v>151</v>
      </c>
      <c r="U152" s="72"/>
    </row>
    <row r="153" spans="1:21" x14ac:dyDescent="0.35">
      <c r="A153" s="4">
        <v>7</v>
      </c>
      <c r="B153" s="14" t="s">
        <v>143</v>
      </c>
      <c r="C153" s="4">
        <f t="shared" si="34"/>
        <v>2.6225085358122602</v>
      </c>
      <c r="D153" s="4">
        <f t="shared" si="35"/>
        <v>2.5</v>
      </c>
      <c r="E153" s="4">
        <f t="shared" si="36"/>
        <v>2.6457513110645907</v>
      </c>
      <c r="F153" s="4">
        <f t="shared" si="37"/>
        <v>2</v>
      </c>
      <c r="G153" s="4">
        <f t="shared" si="38"/>
        <v>2.6279745052035799</v>
      </c>
      <c r="H153" s="4">
        <f t="shared" si="39"/>
        <v>2.2220486043288972</v>
      </c>
      <c r="I153" s="4">
        <f t="shared" si="40"/>
        <v>0</v>
      </c>
      <c r="J153" s="4">
        <f t="shared" si="41"/>
        <v>0</v>
      </c>
      <c r="K153" s="4" t="str">
        <f t="shared" si="42"/>
        <v>C7</v>
      </c>
      <c r="L153" s="14">
        <f t="shared" si="43"/>
        <v>0</v>
      </c>
      <c r="R153" s="72" t="s">
        <v>53</v>
      </c>
      <c r="S153" s="72">
        <v>2</v>
      </c>
      <c r="T153" s="41" t="s">
        <v>134</v>
      </c>
      <c r="U153" s="72" t="s">
        <v>276</v>
      </c>
    </row>
    <row r="154" spans="1:21" x14ac:dyDescent="0.35">
      <c r="A154" s="4">
        <v>8</v>
      </c>
      <c r="B154" s="14" t="s">
        <v>146</v>
      </c>
      <c r="C154" s="4">
        <f t="shared" si="34"/>
        <v>2.2722819600838382</v>
      </c>
      <c r="D154" s="4">
        <f t="shared" si="35"/>
        <v>2.6925824035672519</v>
      </c>
      <c r="E154" s="4">
        <f t="shared" si="36"/>
        <v>2.6457513110645907</v>
      </c>
      <c r="F154" s="4">
        <f t="shared" si="37"/>
        <v>2.8284271247461903</v>
      </c>
      <c r="G154" s="4">
        <f t="shared" si="38"/>
        <v>1.3806701271484076</v>
      </c>
      <c r="H154" s="4">
        <f t="shared" si="39"/>
        <v>2.3318447632722039</v>
      </c>
      <c r="I154" s="4">
        <f t="shared" si="40"/>
        <v>2.4494897427831779</v>
      </c>
      <c r="J154" s="4">
        <f t="shared" si="41"/>
        <v>1.3806701271484076</v>
      </c>
      <c r="K154" s="4" t="str">
        <f t="shared" si="42"/>
        <v>C5</v>
      </c>
      <c r="L154" s="14">
        <f t="shared" si="43"/>
        <v>1.9062500000000002</v>
      </c>
      <c r="R154" s="72"/>
      <c r="S154" s="72"/>
      <c r="T154" s="41" t="s">
        <v>225</v>
      </c>
      <c r="U154" s="72"/>
    </row>
    <row r="155" spans="1:21" x14ac:dyDescent="0.35">
      <c r="A155" s="4">
        <v>9</v>
      </c>
      <c r="B155" s="14" t="s">
        <v>149</v>
      </c>
      <c r="C155" s="4">
        <f t="shared" si="34"/>
        <v>3.0033994345183772</v>
      </c>
      <c r="D155" s="4">
        <f t="shared" si="35"/>
        <v>2.2912878474779199</v>
      </c>
      <c r="E155" s="4">
        <f t="shared" si="36"/>
        <v>2</v>
      </c>
      <c r="F155" s="4">
        <f t="shared" si="37"/>
        <v>2.6457513110645907</v>
      </c>
      <c r="G155" s="4">
        <f t="shared" si="38"/>
        <v>2.7669929526473318</v>
      </c>
      <c r="H155" s="4">
        <f t="shared" si="39"/>
        <v>1.1989578808281798</v>
      </c>
      <c r="I155" s="4">
        <f t="shared" si="40"/>
        <v>2.2360679774997898</v>
      </c>
      <c r="J155" s="4">
        <f t="shared" si="41"/>
        <v>1.1989578808281798</v>
      </c>
      <c r="K155" s="4" t="str">
        <f t="shared" si="42"/>
        <v>C6</v>
      </c>
      <c r="L155" s="14">
        <f t="shared" si="43"/>
        <v>1.4374999999999998</v>
      </c>
      <c r="R155" s="72" t="s">
        <v>58</v>
      </c>
      <c r="S155" s="72">
        <v>2</v>
      </c>
      <c r="T155" s="41" t="s">
        <v>241</v>
      </c>
      <c r="U155" s="72" t="s">
        <v>277</v>
      </c>
    </row>
    <row r="156" spans="1:21" x14ac:dyDescent="0.35">
      <c r="A156" s="43">
        <v>10</v>
      </c>
      <c r="B156" s="61" t="s">
        <v>151</v>
      </c>
      <c r="C156" s="43">
        <f t="shared" si="34"/>
        <v>1.6099182385120925</v>
      </c>
      <c r="D156" s="43">
        <f t="shared" si="35"/>
        <v>2.6925824035672519</v>
      </c>
      <c r="E156" s="43">
        <f t="shared" si="36"/>
        <v>2.8284271247461903</v>
      </c>
      <c r="F156" s="43">
        <f t="shared" si="37"/>
        <v>2.8284271247461903</v>
      </c>
      <c r="G156" s="43">
        <f t="shared" si="38"/>
        <v>2.481179155159901</v>
      </c>
      <c r="H156" s="43">
        <f t="shared" si="39"/>
        <v>3.3819373146171707</v>
      </c>
      <c r="I156" s="43">
        <f t="shared" si="40"/>
        <v>3.1622776601683795</v>
      </c>
      <c r="J156" s="43">
        <f t="shared" si="41"/>
        <v>1.6099182385120925</v>
      </c>
      <c r="K156" s="43" t="str">
        <f t="shared" si="42"/>
        <v>C1</v>
      </c>
      <c r="L156" s="14">
        <f t="shared" si="43"/>
        <v>2.5918367346938789</v>
      </c>
      <c r="R156" s="72"/>
      <c r="S156" s="72"/>
      <c r="T156" s="41" t="s">
        <v>175</v>
      </c>
      <c r="U156" s="72"/>
    </row>
    <row r="157" spans="1:21" x14ac:dyDescent="0.35">
      <c r="A157" s="4">
        <v>11</v>
      </c>
      <c r="B157" s="14" t="s">
        <v>154</v>
      </c>
      <c r="C157" s="4">
        <f t="shared" si="34"/>
        <v>2.3343049483383131</v>
      </c>
      <c r="D157" s="4">
        <f t="shared" si="35"/>
        <v>3.3541019662496847</v>
      </c>
      <c r="E157" s="4">
        <f t="shared" si="36"/>
        <v>3.1622776601683795</v>
      </c>
      <c r="F157" s="4">
        <f t="shared" si="37"/>
        <v>2.4494897427831779</v>
      </c>
      <c r="G157" s="4">
        <f t="shared" si="38"/>
        <v>2.0386883037875112</v>
      </c>
      <c r="H157" s="4">
        <f t="shared" si="39"/>
        <v>2.817356917396161</v>
      </c>
      <c r="I157" s="4">
        <f t="shared" si="40"/>
        <v>2.8284271247461903</v>
      </c>
      <c r="J157" s="4">
        <f t="shared" si="41"/>
        <v>2.0386883037875112</v>
      </c>
      <c r="K157" s="4" t="str">
        <f t="shared" si="42"/>
        <v>C5</v>
      </c>
      <c r="L157" s="14">
        <f t="shared" si="43"/>
        <v>4.15625</v>
      </c>
      <c r="R157" s="41" t="s">
        <v>59</v>
      </c>
      <c r="S157" s="41">
        <v>1</v>
      </c>
      <c r="T157" s="41" t="s">
        <v>244</v>
      </c>
      <c r="U157" s="51" t="s">
        <v>278</v>
      </c>
    </row>
    <row r="158" spans="1:21" x14ac:dyDescent="0.35">
      <c r="A158" s="4">
        <v>12</v>
      </c>
      <c r="B158" s="14" t="s">
        <v>157</v>
      </c>
      <c r="C158" s="4">
        <f t="shared" si="34"/>
        <v>1.261680123761121</v>
      </c>
      <c r="D158" s="4">
        <f t="shared" si="35"/>
        <v>2.8722813232690143</v>
      </c>
      <c r="E158" s="4">
        <f t="shared" si="36"/>
        <v>3.4641016151377544</v>
      </c>
      <c r="F158" s="4">
        <f t="shared" si="37"/>
        <v>2.6457513110645907</v>
      </c>
      <c r="G158" s="4">
        <f t="shared" si="38"/>
        <v>2.721442632134655</v>
      </c>
      <c r="H158" s="4">
        <f t="shared" si="39"/>
        <v>3.2307119958300214</v>
      </c>
      <c r="I158" s="4">
        <f t="shared" si="40"/>
        <v>3.3166247903553998</v>
      </c>
      <c r="J158" s="4">
        <f t="shared" si="41"/>
        <v>1.261680123761121</v>
      </c>
      <c r="K158" s="4" t="str">
        <f t="shared" si="42"/>
        <v>C1</v>
      </c>
      <c r="L158" s="14">
        <f t="shared" si="43"/>
        <v>1.5918367346938778</v>
      </c>
      <c r="R158" s="72" t="s">
        <v>88</v>
      </c>
      <c r="S158" s="72">
        <v>8</v>
      </c>
      <c r="T158" s="41" t="s">
        <v>146</v>
      </c>
      <c r="U158" s="72" t="s">
        <v>279</v>
      </c>
    </row>
    <row r="159" spans="1:21" x14ac:dyDescent="0.35">
      <c r="A159" s="4">
        <v>13</v>
      </c>
      <c r="B159" s="14" t="s">
        <v>160</v>
      </c>
      <c r="C159" s="4">
        <f t="shared" si="34"/>
        <v>2.7553287888551301</v>
      </c>
      <c r="D159" s="4">
        <f t="shared" si="35"/>
        <v>2.2912878474779199</v>
      </c>
      <c r="E159" s="4">
        <f t="shared" si="36"/>
        <v>2.2360679774997898</v>
      </c>
      <c r="F159" s="4">
        <f t="shared" si="37"/>
        <v>2.6457513110645907</v>
      </c>
      <c r="G159" s="4">
        <f t="shared" si="38"/>
        <v>2.8559149146989657</v>
      </c>
      <c r="H159" s="4">
        <f t="shared" si="39"/>
        <v>0.96824583655185426</v>
      </c>
      <c r="I159" s="4">
        <f t="shared" si="40"/>
        <v>2.6457513110645907</v>
      </c>
      <c r="J159" s="4">
        <f t="shared" si="41"/>
        <v>0.96824583655185426</v>
      </c>
      <c r="K159" s="4" t="str">
        <f t="shared" si="42"/>
        <v>C6</v>
      </c>
      <c r="L159" s="14">
        <f t="shared" si="43"/>
        <v>0.93750000000000011</v>
      </c>
      <c r="R159" s="72"/>
      <c r="S159" s="72"/>
      <c r="T159" s="41" t="s">
        <v>137</v>
      </c>
      <c r="U159" s="72"/>
    </row>
    <row r="160" spans="1:21" x14ac:dyDescent="0.35">
      <c r="A160" s="4">
        <v>14</v>
      </c>
      <c r="B160" s="14" t="s">
        <v>163</v>
      </c>
      <c r="C160" s="4">
        <f t="shared" si="34"/>
        <v>2.8066975291983574</v>
      </c>
      <c r="D160" s="4">
        <f t="shared" si="35"/>
        <v>1.8027756377319946</v>
      </c>
      <c r="E160" s="4">
        <f t="shared" si="36"/>
        <v>1.7320508075688772</v>
      </c>
      <c r="F160" s="4">
        <f t="shared" si="37"/>
        <v>2.6457513110645907</v>
      </c>
      <c r="G160" s="4">
        <f t="shared" si="38"/>
        <v>2.4302777619029476</v>
      </c>
      <c r="H160" s="4">
        <f t="shared" si="39"/>
        <v>0.66143782776614768</v>
      </c>
      <c r="I160" s="4">
        <f t="shared" si="40"/>
        <v>2.2360679774997898</v>
      </c>
      <c r="J160" s="4">
        <f t="shared" si="41"/>
        <v>0.66143782776614768</v>
      </c>
      <c r="K160" s="4" t="str">
        <f t="shared" si="42"/>
        <v>C6</v>
      </c>
      <c r="L160" s="14">
        <f t="shared" si="43"/>
        <v>0.43750000000000006</v>
      </c>
      <c r="R160" s="72"/>
      <c r="S160" s="72"/>
      <c r="T160" s="41" t="s">
        <v>154</v>
      </c>
      <c r="U160" s="72"/>
    </row>
    <row r="161" spans="1:21" x14ac:dyDescent="0.35">
      <c r="A161" s="4">
        <v>15</v>
      </c>
      <c r="B161" s="14" t="s">
        <v>166</v>
      </c>
      <c r="C161" s="4">
        <f t="shared" si="34"/>
        <v>1.7785570854269619</v>
      </c>
      <c r="D161" s="4">
        <f t="shared" si="35"/>
        <v>2.6925824035672519</v>
      </c>
      <c r="E161" s="4">
        <f t="shared" si="36"/>
        <v>2.8284271247461903</v>
      </c>
      <c r="F161" s="4">
        <f t="shared" si="37"/>
        <v>2.4494897427831779</v>
      </c>
      <c r="G161" s="4">
        <f t="shared" si="38"/>
        <v>0.39528470752104744</v>
      </c>
      <c r="H161" s="4">
        <f t="shared" si="39"/>
        <v>2.3318447632722039</v>
      </c>
      <c r="I161" s="4">
        <f t="shared" si="40"/>
        <v>2.4494897427831779</v>
      </c>
      <c r="J161" s="4">
        <f t="shared" si="41"/>
        <v>0.39528470752104744</v>
      </c>
      <c r="K161" s="4" t="str">
        <f t="shared" si="42"/>
        <v>C5</v>
      </c>
      <c r="L161" s="14">
        <f t="shared" si="43"/>
        <v>0.15625000000000003</v>
      </c>
      <c r="R161" s="72"/>
      <c r="S161" s="72"/>
      <c r="T161" s="41" t="s">
        <v>166</v>
      </c>
      <c r="U161" s="72"/>
    </row>
    <row r="162" spans="1:21" x14ac:dyDescent="0.35">
      <c r="A162" s="4">
        <v>16</v>
      </c>
      <c r="B162" s="14" t="s">
        <v>169</v>
      </c>
      <c r="C162" s="4">
        <f t="shared" si="34"/>
        <v>2.3647064796066926</v>
      </c>
      <c r="D162" s="4">
        <f t="shared" si="35"/>
        <v>3.3541019662496847</v>
      </c>
      <c r="E162" s="4">
        <f t="shared" si="36"/>
        <v>3.1622776601683795</v>
      </c>
      <c r="F162" s="4">
        <f t="shared" si="37"/>
        <v>3</v>
      </c>
      <c r="G162" s="4">
        <f t="shared" si="38"/>
        <v>2.4302777619029476</v>
      </c>
      <c r="H162" s="4">
        <f t="shared" si="39"/>
        <v>2.6339134382131846</v>
      </c>
      <c r="I162" s="4">
        <f t="shared" si="40"/>
        <v>2.6457513110645907</v>
      </c>
      <c r="J162" s="4">
        <f t="shared" si="41"/>
        <v>2.3647064796066926</v>
      </c>
      <c r="K162" s="4" t="str">
        <f t="shared" si="42"/>
        <v>C1</v>
      </c>
      <c r="L162" s="14">
        <f t="shared" si="43"/>
        <v>5.5918367346938771</v>
      </c>
      <c r="R162" s="72"/>
      <c r="S162" s="72"/>
      <c r="T162" s="41" t="s">
        <v>181</v>
      </c>
      <c r="U162" s="72"/>
    </row>
    <row r="163" spans="1:21" x14ac:dyDescent="0.35">
      <c r="A163" s="4">
        <v>17</v>
      </c>
      <c r="B163" s="14" t="s">
        <v>172</v>
      </c>
      <c r="C163" s="4">
        <f t="shared" si="34"/>
        <v>1.4708043058552858</v>
      </c>
      <c r="D163" s="4">
        <f t="shared" si="35"/>
        <v>2.5</v>
      </c>
      <c r="E163" s="4">
        <f t="shared" si="36"/>
        <v>3.3166247903553998</v>
      </c>
      <c r="F163" s="4">
        <f t="shared" si="37"/>
        <v>2.2360679774997898</v>
      </c>
      <c r="G163" s="4">
        <f t="shared" si="38"/>
        <v>2.2707377655731187</v>
      </c>
      <c r="H163" s="4">
        <f t="shared" si="39"/>
        <v>3.0720514318611269</v>
      </c>
      <c r="I163" s="4">
        <f t="shared" si="40"/>
        <v>2.6457513110645907</v>
      </c>
      <c r="J163" s="4">
        <f t="shared" si="41"/>
        <v>1.4708043058552858</v>
      </c>
      <c r="K163" s="4" t="str">
        <f t="shared" si="42"/>
        <v>C1</v>
      </c>
      <c r="L163" s="14">
        <f t="shared" si="43"/>
        <v>2.1632653061224492</v>
      </c>
      <c r="R163" s="72"/>
      <c r="S163" s="72"/>
      <c r="T163" s="41" t="s">
        <v>227</v>
      </c>
      <c r="U163" s="72"/>
    </row>
    <row r="164" spans="1:21" x14ac:dyDescent="0.35">
      <c r="A164" s="4">
        <v>18</v>
      </c>
      <c r="B164" s="14" t="s">
        <v>175</v>
      </c>
      <c r="C164" s="4">
        <f t="shared" si="34"/>
        <v>3.0739192559071449</v>
      </c>
      <c r="D164" s="4">
        <f t="shared" si="35"/>
        <v>2.5</v>
      </c>
      <c r="E164" s="4">
        <f t="shared" si="36"/>
        <v>1</v>
      </c>
      <c r="F164" s="4">
        <f t="shared" si="37"/>
        <v>3.1622776601683795</v>
      </c>
      <c r="G164" s="4">
        <f t="shared" si="38"/>
        <v>2.9421505739849549</v>
      </c>
      <c r="H164" s="4">
        <f t="shared" si="39"/>
        <v>1.8540496217739157</v>
      </c>
      <c r="I164" s="4">
        <f t="shared" si="40"/>
        <v>2.8284271247461903</v>
      </c>
      <c r="J164" s="4">
        <f t="shared" si="41"/>
        <v>1</v>
      </c>
      <c r="K164" s="4" t="str">
        <f t="shared" si="42"/>
        <v>C3</v>
      </c>
      <c r="L164" s="14">
        <f t="shared" si="43"/>
        <v>1</v>
      </c>
      <c r="R164" s="72"/>
      <c r="S164" s="72"/>
      <c r="T164" s="41" t="s">
        <v>253</v>
      </c>
      <c r="U164" s="72"/>
    </row>
    <row r="165" spans="1:21" x14ac:dyDescent="0.35">
      <c r="A165" s="4">
        <v>19</v>
      </c>
      <c r="B165" s="14" t="s">
        <v>178</v>
      </c>
      <c r="C165" s="4">
        <f t="shared" si="34"/>
        <v>0.85714285714285676</v>
      </c>
      <c r="D165" s="4">
        <f t="shared" si="35"/>
        <v>2.5</v>
      </c>
      <c r="E165" s="4">
        <f t="shared" si="36"/>
        <v>3.4641016151377544</v>
      </c>
      <c r="F165" s="4">
        <f t="shared" si="37"/>
        <v>2.2360679774997898</v>
      </c>
      <c r="G165" s="4">
        <f t="shared" si="38"/>
        <v>2.3782871988050558</v>
      </c>
      <c r="H165" s="4">
        <f t="shared" si="39"/>
        <v>2.9895651857753496</v>
      </c>
      <c r="I165" s="4">
        <f t="shared" si="40"/>
        <v>3</v>
      </c>
      <c r="J165" s="4">
        <f t="shared" si="41"/>
        <v>0.85714285714285676</v>
      </c>
      <c r="K165" s="4" t="str">
        <f t="shared" si="42"/>
        <v>C1</v>
      </c>
      <c r="L165" s="14">
        <f t="shared" si="43"/>
        <v>0.73469387755101978</v>
      </c>
      <c r="R165" s="72"/>
      <c r="S165" s="72"/>
      <c r="T165" s="41" t="s">
        <v>226</v>
      </c>
      <c r="U165" s="72"/>
    </row>
    <row r="166" spans="1:21" x14ac:dyDescent="0.35">
      <c r="A166" s="4">
        <v>20</v>
      </c>
      <c r="B166" s="14" t="s">
        <v>181</v>
      </c>
      <c r="C166" s="4">
        <f t="shared" si="34"/>
        <v>1.7785570854269619</v>
      </c>
      <c r="D166" s="4">
        <f t="shared" si="35"/>
        <v>2.6925824035672519</v>
      </c>
      <c r="E166" s="4">
        <f t="shared" si="36"/>
        <v>2.8284271247461903</v>
      </c>
      <c r="F166" s="4">
        <f t="shared" si="37"/>
        <v>2.4494897427831779</v>
      </c>
      <c r="G166" s="4">
        <f t="shared" si="38"/>
        <v>0.39528470752104744</v>
      </c>
      <c r="H166" s="4">
        <f t="shared" si="39"/>
        <v>2.3318447632722039</v>
      </c>
      <c r="I166" s="4">
        <f t="shared" si="40"/>
        <v>2.4494897427831779</v>
      </c>
      <c r="J166" s="4">
        <f t="shared" si="41"/>
        <v>0.39528470752104744</v>
      </c>
      <c r="K166" s="4" t="str">
        <f t="shared" si="42"/>
        <v>C5</v>
      </c>
      <c r="L166" s="14">
        <f t="shared" si="43"/>
        <v>0.15625000000000003</v>
      </c>
      <c r="R166" s="72" t="s">
        <v>184</v>
      </c>
      <c r="S166" s="72">
        <v>4</v>
      </c>
      <c r="T166" s="41" t="s">
        <v>140</v>
      </c>
      <c r="U166" s="72" t="s">
        <v>280</v>
      </c>
    </row>
    <row r="167" spans="1:21" x14ac:dyDescent="0.35">
      <c r="A167" s="4">
        <v>21</v>
      </c>
      <c r="B167" s="14" t="s">
        <v>227</v>
      </c>
      <c r="C167" s="4">
        <f t="shared" si="34"/>
        <v>3.2545102142555766</v>
      </c>
      <c r="D167" s="4">
        <f t="shared" si="35"/>
        <v>4.0311288741492746</v>
      </c>
      <c r="E167" s="4">
        <f t="shared" si="36"/>
        <v>4.5825756949558398</v>
      </c>
      <c r="F167" s="4">
        <f t="shared" si="37"/>
        <v>4</v>
      </c>
      <c r="G167" s="4">
        <f t="shared" si="38"/>
        <v>2.3782871988050558</v>
      </c>
      <c r="H167" s="4">
        <f t="shared" si="39"/>
        <v>4.0543186850567139</v>
      </c>
      <c r="I167" s="4">
        <f t="shared" si="40"/>
        <v>4.2426406871192848</v>
      </c>
      <c r="J167" s="4">
        <f t="shared" si="41"/>
        <v>2.3782871988050558</v>
      </c>
      <c r="K167" s="4" t="str">
        <f t="shared" si="42"/>
        <v>C5</v>
      </c>
      <c r="L167" s="14">
        <f t="shared" si="43"/>
        <v>5.6562499999999991</v>
      </c>
      <c r="R167" s="72"/>
      <c r="S167" s="72"/>
      <c r="T167" s="41" t="s">
        <v>149</v>
      </c>
      <c r="U167" s="72"/>
    </row>
    <row r="168" spans="1:21" x14ac:dyDescent="0.35">
      <c r="A168" s="4">
        <v>22</v>
      </c>
      <c r="B168" s="14" t="s">
        <v>224</v>
      </c>
      <c r="C168" s="4">
        <f t="shared" si="34"/>
        <v>1.7379321515137769</v>
      </c>
      <c r="D168" s="4">
        <f t="shared" si="35"/>
        <v>2.5</v>
      </c>
      <c r="E168" s="4">
        <f t="shared" si="36"/>
        <v>3.6055512754639891</v>
      </c>
      <c r="F168" s="4">
        <f t="shared" si="37"/>
        <v>2.6457513110645907</v>
      </c>
      <c r="G168" s="4">
        <f t="shared" si="38"/>
        <v>2.2707377655731187</v>
      </c>
      <c r="H168" s="4">
        <f t="shared" si="39"/>
        <v>3.2307119958300214</v>
      </c>
      <c r="I168" s="4">
        <f t="shared" si="40"/>
        <v>3.3166247903553998</v>
      </c>
      <c r="J168" s="4">
        <f t="shared" si="41"/>
        <v>1.7379321515137769</v>
      </c>
      <c r="K168" s="4" t="str">
        <f t="shared" si="42"/>
        <v>C1</v>
      </c>
      <c r="L168" s="14">
        <f t="shared" si="43"/>
        <v>3.0204081632653055</v>
      </c>
      <c r="R168" s="72"/>
      <c r="S168" s="72"/>
      <c r="T168" s="41" t="s">
        <v>160</v>
      </c>
      <c r="U168" s="72"/>
    </row>
    <row r="169" spans="1:21" x14ac:dyDescent="0.35">
      <c r="A169" s="4">
        <v>23</v>
      </c>
      <c r="B169" s="14" t="s">
        <v>248</v>
      </c>
      <c r="C169" s="4">
        <f t="shared" si="34"/>
        <v>3.8756171332144391</v>
      </c>
      <c r="D169" s="4">
        <f t="shared" si="35"/>
        <v>4.5</v>
      </c>
      <c r="E169" s="4">
        <f t="shared" si="36"/>
        <v>4.7958315233127191</v>
      </c>
      <c r="F169" s="4">
        <f t="shared" si="37"/>
        <v>4.358898943540674</v>
      </c>
      <c r="G169" s="4">
        <f t="shared" si="38"/>
        <v>2.481179155159901</v>
      </c>
      <c r="H169" s="4">
        <f t="shared" si="39"/>
        <v>4.235268586524354</v>
      </c>
      <c r="I169" s="4">
        <f t="shared" si="40"/>
        <v>4.1231056256176606</v>
      </c>
      <c r="J169" s="4">
        <f t="shared" si="41"/>
        <v>2.481179155159901</v>
      </c>
      <c r="K169" s="4" t="str">
        <f t="shared" si="42"/>
        <v>C5</v>
      </c>
      <c r="L169" s="14">
        <f>J169^2</f>
        <v>6.15625</v>
      </c>
      <c r="R169" s="106"/>
      <c r="S169" s="106"/>
      <c r="T169" s="41" t="s">
        <v>163</v>
      </c>
      <c r="U169" s="72"/>
    </row>
    <row r="170" spans="1:21" x14ac:dyDescent="0.35">
      <c r="A170" s="4">
        <v>24</v>
      </c>
      <c r="B170" s="14" t="s">
        <v>226</v>
      </c>
      <c r="C170" s="4">
        <f t="shared" si="34"/>
        <v>2.5111994044638495</v>
      </c>
      <c r="D170" s="4">
        <f t="shared" si="35"/>
        <v>3.3541019662496847</v>
      </c>
      <c r="E170" s="4">
        <f t="shared" si="36"/>
        <v>3.4641016151377544</v>
      </c>
      <c r="F170" s="4">
        <f t="shared" si="37"/>
        <v>2.8284271247461903</v>
      </c>
      <c r="G170" s="4">
        <f t="shared" si="38"/>
        <v>1.9121323175972944</v>
      </c>
      <c r="H170" s="4">
        <f t="shared" si="39"/>
        <v>2.9047375096555625</v>
      </c>
      <c r="I170" s="4">
        <f t="shared" si="40"/>
        <v>3.1622776601683795</v>
      </c>
      <c r="J170" s="4">
        <f t="shared" si="41"/>
        <v>1.9121323175972944</v>
      </c>
      <c r="K170" s="4" t="str">
        <f t="shared" si="42"/>
        <v>C5</v>
      </c>
      <c r="L170" s="14">
        <f t="shared" ref="L170:L171" si="44">J170^2</f>
        <v>3.6562500000000004</v>
      </c>
      <c r="R170" s="4" t="s">
        <v>185</v>
      </c>
      <c r="S170" s="4">
        <v>1</v>
      </c>
      <c r="T170" s="4" t="s">
        <v>143</v>
      </c>
      <c r="U170" s="51" t="s">
        <v>281</v>
      </c>
    </row>
    <row r="171" spans="1:21" x14ac:dyDescent="0.35">
      <c r="A171" s="4">
        <v>25</v>
      </c>
      <c r="B171" s="14" t="s">
        <v>225</v>
      </c>
      <c r="C171" s="4">
        <f t="shared" si="34"/>
        <v>2.2406267344797315</v>
      </c>
      <c r="D171" s="4">
        <f t="shared" si="35"/>
        <v>0.5</v>
      </c>
      <c r="E171" s="4">
        <f t="shared" si="36"/>
        <v>2.4494897427831779</v>
      </c>
      <c r="F171" s="4">
        <f t="shared" si="37"/>
        <v>2.2360679774997898</v>
      </c>
      <c r="G171" s="4">
        <f t="shared" si="38"/>
        <v>2.8118054698004982</v>
      </c>
      <c r="H171" s="4">
        <f t="shared" si="39"/>
        <v>2.1065374432940898</v>
      </c>
      <c r="I171" s="4">
        <f t="shared" si="40"/>
        <v>2.6457513110645907</v>
      </c>
      <c r="J171" s="4">
        <f t="shared" si="41"/>
        <v>0.5</v>
      </c>
      <c r="K171" s="4" t="str">
        <f t="shared" si="42"/>
        <v>C2</v>
      </c>
      <c r="L171" s="14">
        <f t="shared" si="44"/>
        <v>0.25</v>
      </c>
    </row>
  </sheetData>
  <mergeCells count="45">
    <mergeCell ref="V67:V72"/>
    <mergeCell ref="U146:U152"/>
    <mergeCell ref="U153:U154"/>
    <mergeCell ref="U155:U156"/>
    <mergeCell ref="U158:U165"/>
    <mergeCell ref="U166:U169"/>
    <mergeCell ref="A56:R56"/>
    <mergeCell ref="A66:M66"/>
    <mergeCell ref="S67:S72"/>
    <mergeCell ref="T67:T72"/>
    <mergeCell ref="S73:S74"/>
    <mergeCell ref="T73:T74"/>
    <mergeCell ref="S114:S115"/>
    <mergeCell ref="S75:S76"/>
    <mergeCell ref="T75:T76"/>
    <mergeCell ref="S78:S86"/>
    <mergeCell ref="T78:T86"/>
    <mergeCell ref="S87:S90"/>
    <mergeCell ref="T87:T90"/>
    <mergeCell ref="R158:R165"/>
    <mergeCell ref="S158:S165"/>
    <mergeCell ref="R166:R169"/>
    <mergeCell ref="S166:S169"/>
    <mergeCell ref="A134:R134"/>
    <mergeCell ref="A145:M145"/>
    <mergeCell ref="R146:R152"/>
    <mergeCell ref="S146:S152"/>
    <mergeCell ref="R153:R154"/>
    <mergeCell ref="S153:S154"/>
    <mergeCell ref="AA1:AC1"/>
    <mergeCell ref="AA7:AC7"/>
    <mergeCell ref="AA13:AC13"/>
    <mergeCell ref="R155:R156"/>
    <mergeCell ref="S155:S156"/>
    <mergeCell ref="R116:R117"/>
    <mergeCell ref="S116:S117"/>
    <mergeCell ref="R119:R126"/>
    <mergeCell ref="S119:S126"/>
    <mergeCell ref="R127:R130"/>
    <mergeCell ref="S127:S130"/>
    <mergeCell ref="A95:R95"/>
    <mergeCell ref="A106:M106"/>
    <mergeCell ref="R107:R113"/>
    <mergeCell ref="S107:S113"/>
    <mergeCell ref="R114:R11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4B3DC-253A-40B4-A6B0-4391E4F9CDFA}">
  <dimension ref="A1:T187"/>
  <sheetViews>
    <sheetView tabSelected="1" topLeftCell="A122" zoomScale="85" zoomScaleNormal="85" workbookViewId="0">
      <selection activeCell="K135" sqref="K135"/>
    </sheetView>
  </sheetViews>
  <sheetFormatPr defaultRowHeight="14.5" x14ac:dyDescent="0.35"/>
  <cols>
    <col min="3" max="3" width="16.08984375" customWidth="1"/>
    <col min="7" max="7" width="13.6328125" bestFit="1" customWidth="1"/>
    <col min="13" max="13" width="12" bestFit="1" customWidth="1"/>
    <col min="14" max="14" width="26" customWidth="1"/>
  </cols>
  <sheetData>
    <row r="1" spans="1:20" x14ac:dyDescent="0.35">
      <c r="A1" s="59" t="s">
        <v>106</v>
      </c>
      <c r="B1" s="59" t="s">
        <v>192</v>
      </c>
      <c r="C1" s="59" t="s">
        <v>193</v>
      </c>
      <c r="D1" s="59" t="s">
        <v>194</v>
      </c>
      <c r="E1" s="59" t="s">
        <v>195</v>
      </c>
      <c r="F1" s="59" t="s">
        <v>199</v>
      </c>
      <c r="G1" s="59" t="s">
        <v>200</v>
      </c>
      <c r="H1" s="59" t="s">
        <v>201</v>
      </c>
      <c r="I1" s="59" t="s">
        <v>202</v>
      </c>
      <c r="J1" s="59" t="s">
        <v>205</v>
      </c>
      <c r="K1" s="59" t="s">
        <v>206</v>
      </c>
      <c r="L1" s="59" t="s">
        <v>207</v>
      </c>
      <c r="M1" s="59" t="s">
        <v>208</v>
      </c>
      <c r="N1" s="58"/>
      <c r="O1" s="58"/>
      <c r="P1" s="58"/>
      <c r="Q1" s="58"/>
      <c r="R1" s="58"/>
      <c r="S1" s="58"/>
      <c r="T1" s="58"/>
    </row>
    <row r="2" spans="1:20" x14ac:dyDescent="0.35">
      <c r="A2" s="4" t="s">
        <v>287</v>
      </c>
      <c r="B2" s="4">
        <v>3</v>
      </c>
      <c r="C2" s="4">
        <v>2</v>
      </c>
      <c r="D2" s="4">
        <v>2</v>
      </c>
      <c r="E2" s="4">
        <v>2</v>
      </c>
      <c r="F2" s="4">
        <v>3</v>
      </c>
      <c r="G2" s="4">
        <v>2</v>
      </c>
      <c r="H2" s="4">
        <v>2</v>
      </c>
      <c r="I2" s="4">
        <v>1</v>
      </c>
      <c r="J2" s="4">
        <v>2</v>
      </c>
      <c r="K2" s="4">
        <v>2</v>
      </c>
      <c r="L2" s="4">
        <v>3</v>
      </c>
      <c r="M2" s="4">
        <v>1</v>
      </c>
    </row>
    <row r="3" spans="1:20" x14ac:dyDescent="0.35">
      <c r="A3" s="4" t="s">
        <v>288</v>
      </c>
      <c r="B3" s="4">
        <v>1</v>
      </c>
      <c r="C3" s="4">
        <v>3</v>
      </c>
      <c r="D3" s="4">
        <v>2</v>
      </c>
      <c r="E3" s="4">
        <v>1</v>
      </c>
      <c r="F3" s="4">
        <v>2</v>
      </c>
      <c r="G3" s="4">
        <v>2</v>
      </c>
      <c r="H3" s="4">
        <v>3</v>
      </c>
      <c r="I3" s="4">
        <v>2</v>
      </c>
      <c r="J3" s="4">
        <v>3</v>
      </c>
      <c r="K3" s="4">
        <v>2</v>
      </c>
      <c r="L3" s="4">
        <v>2</v>
      </c>
      <c r="M3" s="4">
        <v>1</v>
      </c>
    </row>
    <row r="4" spans="1:20" x14ac:dyDescent="0.35">
      <c r="A4" s="4" t="s">
        <v>289</v>
      </c>
      <c r="B4" s="4">
        <v>3</v>
      </c>
      <c r="C4" s="4">
        <v>2</v>
      </c>
      <c r="D4" s="4">
        <v>3</v>
      </c>
      <c r="E4" s="4">
        <v>2</v>
      </c>
      <c r="F4" s="4">
        <v>3</v>
      </c>
      <c r="G4" s="4">
        <v>2</v>
      </c>
      <c r="H4" s="4">
        <v>2</v>
      </c>
      <c r="I4" s="4">
        <v>3</v>
      </c>
      <c r="J4" s="4">
        <v>2</v>
      </c>
      <c r="K4" s="4">
        <v>3</v>
      </c>
      <c r="L4" s="4">
        <v>3</v>
      </c>
      <c r="M4" s="4">
        <v>2</v>
      </c>
    </row>
    <row r="5" spans="1:20" x14ac:dyDescent="0.35">
      <c r="A5" s="4" t="s">
        <v>146</v>
      </c>
      <c r="B5" s="4">
        <v>2</v>
      </c>
      <c r="C5" s="4">
        <v>2</v>
      </c>
      <c r="D5" s="4">
        <v>2</v>
      </c>
      <c r="E5" s="4">
        <v>3</v>
      </c>
      <c r="F5" s="4">
        <v>2</v>
      </c>
      <c r="G5" s="4">
        <v>3</v>
      </c>
      <c r="H5" s="4">
        <v>2</v>
      </c>
      <c r="I5" s="4">
        <v>1</v>
      </c>
      <c r="J5" s="4">
        <v>2</v>
      </c>
      <c r="K5" s="4">
        <v>2</v>
      </c>
      <c r="L5" s="4">
        <v>1</v>
      </c>
      <c r="M5" s="4">
        <v>3</v>
      </c>
    </row>
    <row r="6" spans="1:20" x14ac:dyDescent="0.35">
      <c r="A6" s="4" t="s">
        <v>134</v>
      </c>
      <c r="B6" s="4">
        <v>1</v>
      </c>
      <c r="C6" s="4">
        <v>3</v>
      </c>
      <c r="D6" s="4">
        <v>2</v>
      </c>
      <c r="E6" s="4">
        <v>1</v>
      </c>
      <c r="F6" s="4">
        <v>1</v>
      </c>
      <c r="G6" s="4">
        <v>2</v>
      </c>
      <c r="H6" s="4">
        <v>3</v>
      </c>
      <c r="I6" s="4">
        <v>2</v>
      </c>
      <c r="J6" s="4">
        <v>3</v>
      </c>
      <c r="K6" s="4">
        <v>2</v>
      </c>
      <c r="L6" s="4">
        <v>1</v>
      </c>
      <c r="M6" s="4">
        <v>1</v>
      </c>
    </row>
    <row r="7" spans="1:20" x14ac:dyDescent="0.35">
      <c r="A7" s="4" t="s">
        <v>244</v>
      </c>
      <c r="B7" s="4">
        <v>2</v>
      </c>
      <c r="C7" s="4">
        <v>2</v>
      </c>
      <c r="D7" s="4">
        <v>1</v>
      </c>
      <c r="E7" s="4">
        <v>3</v>
      </c>
      <c r="F7" s="4">
        <v>1</v>
      </c>
      <c r="G7" s="4">
        <v>3</v>
      </c>
      <c r="H7" s="4">
        <v>2</v>
      </c>
      <c r="I7" s="4">
        <v>1</v>
      </c>
      <c r="J7" s="4">
        <v>2</v>
      </c>
      <c r="K7" s="4">
        <v>2</v>
      </c>
      <c r="L7" s="4">
        <v>2</v>
      </c>
      <c r="M7" s="4">
        <v>3</v>
      </c>
    </row>
    <row r="8" spans="1:20" x14ac:dyDescent="0.35">
      <c r="A8" s="4" t="s">
        <v>290</v>
      </c>
      <c r="B8" s="4">
        <v>3</v>
      </c>
      <c r="C8" s="4">
        <v>3</v>
      </c>
      <c r="D8" s="4">
        <v>2</v>
      </c>
      <c r="E8" s="4">
        <v>2</v>
      </c>
      <c r="F8" s="4">
        <v>3</v>
      </c>
      <c r="G8" s="4">
        <v>2</v>
      </c>
      <c r="H8" s="4">
        <v>3</v>
      </c>
      <c r="I8" s="4">
        <v>2</v>
      </c>
      <c r="J8" s="4">
        <v>2</v>
      </c>
      <c r="K8" s="4">
        <v>1</v>
      </c>
      <c r="L8" s="4">
        <v>3</v>
      </c>
      <c r="M8" s="4">
        <v>2</v>
      </c>
    </row>
    <row r="9" spans="1:20" x14ac:dyDescent="0.35">
      <c r="A9" s="4" t="s">
        <v>291</v>
      </c>
      <c r="B9" s="4">
        <v>2</v>
      </c>
      <c r="C9" s="4">
        <v>2</v>
      </c>
      <c r="D9" s="4">
        <v>2</v>
      </c>
      <c r="E9" s="4">
        <v>2</v>
      </c>
      <c r="F9" s="4">
        <v>2</v>
      </c>
      <c r="G9" s="4">
        <v>2</v>
      </c>
      <c r="H9" s="4">
        <v>2</v>
      </c>
      <c r="I9" s="4">
        <v>2</v>
      </c>
      <c r="J9" s="4">
        <v>2</v>
      </c>
      <c r="K9" s="4">
        <v>2</v>
      </c>
      <c r="L9" s="4">
        <v>2</v>
      </c>
      <c r="M9" s="4">
        <v>2</v>
      </c>
    </row>
    <row r="10" spans="1:20" x14ac:dyDescent="0.35">
      <c r="A10" s="4" t="s">
        <v>140</v>
      </c>
      <c r="B10" s="4">
        <v>2</v>
      </c>
      <c r="C10" s="4">
        <v>3</v>
      </c>
      <c r="D10" s="4">
        <v>2</v>
      </c>
      <c r="E10" s="4">
        <v>2</v>
      </c>
      <c r="F10" s="4">
        <v>2</v>
      </c>
      <c r="G10" s="4">
        <v>2</v>
      </c>
      <c r="H10" s="4">
        <v>3</v>
      </c>
      <c r="I10" s="4">
        <v>2</v>
      </c>
      <c r="J10" s="4">
        <v>3</v>
      </c>
      <c r="K10" s="4">
        <v>2</v>
      </c>
      <c r="L10" s="4">
        <v>1</v>
      </c>
      <c r="M10" s="4">
        <v>2</v>
      </c>
    </row>
    <row r="11" spans="1:20" x14ac:dyDescent="0.35">
      <c r="A11" s="4" t="s">
        <v>292</v>
      </c>
      <c r="B11" s="4">
        <v>2</v>
      </c>
      <c r="C11" s="4">
        <v>3</v>
      </c>
      <c r="D11" s="4">
        <v>2</v>
      </c>
      <c r="E11" s="4">
        <v>2</v>
      </c>
      <c r="F11" s="4">
        <v>2</v>
      </c>
      <c r="G11" s="4">
        <v>2</v>
      </c>
      <c r="H11" s="4">
        <v>3</v>
      </c>
      <c r="I11" s="4">
        <v>2</v>
      </c>
      <c r="J11" s="4">
        <v>3</v>
      </c>
      <c r="K11" s="4">
        <v>2</v>
      </c>
      <c r="L11" s="4">
        <v>2</v>
      </c>
      <c r="M11" s="4">
        <v>2</v>
      </c>
    </row>
    <row r="12" spans="1:20" x14ac:dyDescent="0.35">
      <c r="A12" s="4" t="s">
        <v>293</v>
      </c>
      <c r="B12" s="4">
        <v>2</v>
      </c>
      <c r="C12" s="4">
        <v>2</v>
      </c>
      <c r="D12" s="4">
        <v>2</v>
      </c>
      <c r="E12" s="4">
        <v>3</v>
      </c>
      <c r="F12" s="4">
        <v>2</v>
      </c>
      <c r="G12" s="4">
        <v>3</v>
      </c>
      <c r="H12" s="4">
        <v>2</v>
      </c>
      <c r="I12" s="4">
        <v>2</v>
      </c>
      <c r="J12" s="4">
        <v>2</v>
      </c>
      <c r="K12" s="4">
        <v>2</v>
      </c>
      <c r="L12" s="4">
        <v>2</v>
      </c>
      <c r="M12" s="4">
        <v>3</v>
      </c>
    </row>
    <row r="13" spans="1:20" x14ac:dyDescent="0.35">
      <c r="A13" s="4" t="s">
        <v>294</v>
      </c>
      <c r="B13" s="4">
        <v>3</v>
      </c>
      <c r="C13" s="4">
        <v>2</v>
      </c>
      <c r="D13" s="4">
        <v>3</v>
      </c>
      <c r="E13" s="4">
        <v>2</v>
      </c>
      <c r="F13" s="4">
        <v>3</v>
      </c>
      <c r="G13" s="4">
        <v>2</v>
      </c>
      <c r="H13" s="4">
        <v>2</v>
      </c>
      <c r="I13" s="4">
        <v>3</v>
      </c>
      <c r="J13" s="4">
        <v>2</v>
      </c>
      <c r="K13" s="4">
        <v>3</v>
      </c>
      <c r="L13" s="4">
        <v>3</v>
      </c>
      <c r="M13" s="4">
        <v>2</v>
      </c>
    </row>
    <row r="14" spans="1:20" x14ac:dyDescent="0.35">
      <c r="A14" s="4" t="s">
        <v>295</v>
      </c>
      <c r="B14" s="4">
        <v>2</v>
      </c>
      <c r="C14" s="4">
        <v>3</v>
      </c>
      <c r="D14" s="4">
        <v>2</v>
      </c>
      <c r="E14" s="4">
        <v>2</v>
      </c>
      <c r="F14" s="4">
        <v>2</v>
      </c>
      <c r="G14" s="4">
        <v>2</v>
      </c>
      <c r="H14" s="4">
        <v>3</v>
      </c>
      <c r="I14" s="4">
        <v>2</v>
      </c>
      <c r="J14" s="4">
        <v>3</v>
      </c>
      <c r="K14" s="4">
        <v>2</v>
      </c>
      <c r="L14" s="4">
        <v>2</v>
      </c>
      <c r="M14" s="4">
        <v>1</v>
      </c>
    </row>
    <row r="15" spans="1:20" x14ac:dyDescent="0.35">
      <c r="A15" s="4" t="s">
        <v>296</v>
      </c>
      <c r="B15" s="4">
        <v>2</v>
      </c>
      <c r="C15" s="4">
        <v>2</v>
      </c>
      <c r="D15" s="4">
        <v>3</v>
      </c>
      <c r="E15" s="4">
        <v>2</v>
      </c>
      <c r="F15" s="4">
        <v>2</v>
      </c>
      <c r="G15" s="4">
        <v>2</v>
      </c>
      <c r="H15" s="4">
        <v>2</v>
      </c>
      <c r="I15" s="4">
        <v>3</v>
      </c>
      <c r="J15" s="4">
        <v>2</v>
      </c>
      <c r="K15" s="4">
        <v>3</v>
      </c>
      <c r="L15" s="4">
        <v>2</v>
      </c>
      <c r="M15" s="4">
        <v>2</v>
      </c>
    </row>
    <row r="16" spans="1:20" x14ac:dyDescent="0.35">
      <c r="A16" s="4" t="s">
        <v>297</v>
      </c>
      <c r="B16" s="4">
        <v>2</v>
      </c>
      <c r="C16" s="4">
        <v>2</v>
      </c>
      <c r="D16" s="4">
        <v>2</v>
      </c>
      <c r="E16" s="4">
        <v>3</v>
      </c>
      <c r="F16" s="4">
        <v>2</v>
      </c>
      <c r="G16" s="4">
        <v>3</v>
      </c>
      <c r="H16" s="4">
        <v>1</v>
      </c>
      <c r="I16" s="4">
        <v>2</v>
      </c>
      <c r="J16" s="4">
        <v>2</v>
      </c>
      <c r="K16" s="4">
        <v>2</v>
      </c>
      <c r="L16" s="4">
        <v>2</v>
      </c>
      <c r="M16" s="4">
        <v>3</v>
      </c>
    </row>
    <row r="17" spans="1:13" x14ac:dyDescent="0.35">
      <c r="A17" s="4" t="s">
        <v>143</v>
      </c>
      <c r="B17" s="4">
        <v>3</v>
      </c>
      <c r="C17" s="4">
        <v>2</v>
      </c>
      <c r="D17" s="4">
        <v>2</v>
      </c>
      <c r="E17" s="4">
        <v>2</v>
      </c>
      <c r="F17" s="4">
        <v>3</v>
      </c>
      <c r="G17" s="4">
        <v>2</v>
      </c>
      <c r="H17" s="4">
        <v>1</v>
      </c>
      <c r="I17" s="4">
        <v>2</v>
      </c>
      <c r="J17" s="4">
        <v>2</v>
      </c>
      <c r="K17" s="4">
        <v>2</v>
      </c>
      <c r="L17" s="4">
        <v>3</v>
      </c>
      <c r="M17" s="4">
        <v>2</v>
      </c>
    </row>
    <row r="18" spans="1:13" x14ac:dyDescent="0.35">
      <c r="A18" s="4" t="s">
        <v>298</v>
      </c>
      <c r="B18" s="4">
        <v>2</v>
      </c>
      <c r="C18" s="4">
        <v>3</v>
      </c>
      <c r="D18" s="4">
        <v>2</v>
      </c>
      <c r="E18" s="4">
        <v>2</v>
      </c>
      <c r="F18" s="4">
        <v>2</v>
      </c>
      <c r="G18" s="4">
        <v>2</v>
      </c>
      <c r="H18" s="4">
        <v>3</v>
      </c>
      <c r="I18" s="4">
        <v>2</v>
      </c>
      <c r="J18" s="4">
        <v>3</v>
      </c>
      <c r="K18" s="4">
        <v>2</v>
      </c>
      <c r="L18" s="4">
        <v>2</v>
      </c>
      <c r="M18" s="4">
        <v>2</v>
      </c>
    </row>
    <row r="19" spans="1:13" x14ac:dyDescent="0.35">
      <c r="A19" s="4" t="s">
        <v>299</v>
      </c>
      <c r="B19" s="4">
        <v>2</v>
      </c>
      <c r="C19" s="4">
        <v>2</v>
      </c>
      <c r="D19" s="4">
        <v>2</v>
      </c>
      <c r="E19" s="4">
        <v>3</v>
      </c>
      <c r="F19" s="4">
        <v>2</v>
      </c>
      <c r="G19" s="4">
        <v>3</v>
      </c>
      <c r="H19" s="4">
        <v>2</v>
      </c>
      <c r="I19" s="4">
        <v>2</v>
      </c>
      <c r="J19" s="4">
        <v>2</v>
      </c>
      <c r="K19" s="4">
        <v>2</v>
      </c>
      <c r="L19" s="4">
        <v>2</v>
      </c>
      <c r="M19" s="4">
        <v>3</v>
      </c>
    </row>
    <row r="20" spans="1:13" x14ac:dyDescent="0.35">
      <c r="A20" s="4" t="s">
        <v>300</v>
      </c>
      <c r="B20" s="4">
        <v>2</v>
      </c>
      <c r="C20" s="4">
        <v>2</v>
      </c>
      <c r="D20" s="4">
        <v>3</v>
      </c>
      <c r="E20" s="4">
        <v>2</v>
      </c>
      <c r="F20" s="4">
        <v>2</v>
      </c>
      <c r="G20" s="4">
        <v>2</v>
      </c>
      <c r="H20" s="4">
        <v>2</v>
      </c>
      <c r="I20" s="4">
        <v>3</v>
      </c>
      <c r="J20" s="4">
        <v>2</v>
      </c>
      <c r="K20" s="4">
        <v>3</v>
      </c>
      <c r="L20" s="4">
        <v>2</v>
      </c>
      <c r="M20" s="4">
        <v>2</v>
      </c>
    </row>
    <row r="21" spans="1:13" x14ac:dyDescent="0.35">
      <c r="A21" s="4" t="s">
        <v>301</v>
      </c>
      <c r="B21" s="4">
        <v>3</v>
      </c>
      <c r="C21" s="4">
        <v>2</v>
      </c>
      <c r="D21" s="4">
        <v>3</v>
      </c>
      <c r="E21" s="4">
        <v>2</v>
      </c>
      <c r="F21" s="4">
        <v>3</v>
      </c>
      <c r="G21" s="4">
        <v>2</v>
      </c>
      <c r="H21" s="4">
        <v>2</v>
      </c>
      <c r="I21" s="4">
        <v>3</v>
      </c>
      <c r="J21" s="4">
        <v>2</v>
      </c>
      <c r="K21" s="4">
        <v>3</v>
      </c>
      <c r="L21" s="4">
        <v>3</v>
      </c>
      <c r="M21" s="4">
        <v>2</v>
      </c>
    </row>
    <row r="22" spans="1:13" x14ac:dyDescent="0.35">
      <c r="A22" s="4" t="s">
        <v>302</v>
      </c>
      <c r="B22" s="4">
        <v>2</v>
      </c>
      <c r="C22" s="4">
        <v>3</v>
      </c>
      <c r="D22" s="4">
        <v>2</v>
      </c>
      <c r="E22" s="4">
        <v>2</v>
      </c>
      <c r="F22" s="4">
        <v>2</v>
      </c>
      <c r="G22" s="4">
        <v>2</v>
      </c>
      <c r="H22" s="4">
        <v>3</v>
      </c>
      <c r="I22" s="4">
        <v>2</v>
      </c>
      <c r="J22" s="4">
        <v>3</v>
      </c>
      <c r="K22" s="4">
        <v>2</v>
      </c>
      <c r="L22" s="4">
        <v>2</v>
      </c>
      <c r="M22" s="4">
        <v>1</v>
      </c>
    </row>
    <row r="23" spans="1:13" x14ac:dyDescent="0.35">
      <c r="A23" s="4" t="s">
        <v>303</v>
      </c>
      <c r="B23" s="4">
        <v>2</v>
      </c>
      <c r="C23" s="4">
        <v>2</v>
      </c>
      <c r="D23" s="4">
        <v>3</v>
      </c>
      <c r="E23" s="4">
        <v>2</v>
      </c>
      <c r="F23" s="4">
        <v>2</v>
      </c>
      <c r="G23" s="4">
        <v>2</v>
      </c>
      <c r="H23" s="4">
        <v>2</v>
      </c>
      <c r="I23" s="4">
        <v>3</v>
      </c>
      <c r="J23" s="4">
        <v>2</v>
      </c>
      <c r="K23" s="4">
        <v>3</v>
      </c>
      <c r="L23" s="4">
        <v>2</v>
      </c>
      <c r="M23" s="4">
        <v>2</v>
      </c>
    </row>
    <row r="24" spans="1:13" x14ac:dyDescent="0.35">
      <c r="A24" s="4" t="s">
        <v>304</v>
      </c>
      <c r="B24" s="4">
        <v>2</v>
      </c>
      <c r="C24" s="4">
        <v>2</v>
      </c>
      <c r="D24" s="4">
        <v>2</v>
      </c>
      <c r="E24" s="4">
        <v>3</v>
      </c>
      <c r="F24" s="4">
        <v>2</v>
      </c>
      <c r="G24" s="4">
        <v>3</v>
      </c>
      <c r="H24" s="4">
        <v>2</v>
      </c>
      <c r="I24" s="4">
        <v>2</v>
      </c>
      <c r="J24" s="4">
        <v>2</v>
      </c>
      <c r="K24" s="4">
        <v>2</v>
      </c>
      <c r="L24" s="4">
        <v>2</v>
      </c>
      <c r="M24" s="4">
        <v>3</v>
      </c>
    </row>
    <row r="25" spans="1:13" x14ac:dyDescent="0.35">
      <c r="A25" s="4" t="s">
        <v>305</v>
      </c>
      <c r="B25" s="4">
        <v>2</v>
      </c>
      <c r="C25" s="4">
        <v>2</v>
      </c>
      <c r="D25" s="4">
        <v>2</v>
      </c>
      <c r="E25" s="4">
        <v>3</v>
      </c>
      <c r="F25" s="4">
        <v>2</v>
      </c>
      <c r="G25" s="4">
        <v>3</v>
      </c>
      <c r="H25" s="4">
        <v>2</v>
      </c>
      <c r="I25" s="4">
        <v>2</v>
      </c>
      <c r="J25" s="4">
        <v>2</v>
      </c>
      <c r="K25" s="4">
        <v>2</v>
      </c>
      <c r="L25" s="4">
        <v>2</v>
      </c>
      <c r="M25" s="4">
        <v>3</v>
      </c>
    </row>
    <row r="26" spans="1:13" x14ac:dyDescent="0.35">
      <c r="A26" s="4" t="s">
        <v>306</v>
      </c>
      <c r="B26" s="4">
        <v>3</v>
      </c>
      <c r="C26" s="4">
        <v>2</v>
      </c>
      <c r="D26" s="4">
        <v>2</v>
      </c>
      <c r="E26" s="4">
        <v>2</v>
      </c>
      <c r="F26" s="4">
        <v>3</v>
      </c>
      <c r="G26" s="4">
        <v>2</v>
      </c>
      <c r="H26" s="4">
        <v>2</v>
      </c>
      <c r="I26" s="4">
        <v>2</v>
      </c>
      <c r="J26" s="4">
        <v>2</v>
      </c>
      <c r="K26" s="4">
        <v>2</v>
      </c>
      <c r="L26" s="4">
        <v>3</v>
      </c>
      <c r="M26" s="4">
        <v>2</v>
      </c>
    </row>
    <row r="27" spans="1:13" x14ac:dyDescent="0.35">
      <c r="A27" s="4" t="s">
        <v>166</v>
      </c>
      <c r="B27" s="4">
        <v>2</v>
      </c>
      <c r="C27" s="4">
        <v>3</v>
      </c>
      <c r="D27" s="4">
        <v>2</v>
      </c>
      <c r="E27" s="4">
        <v>2</v>
      </c>
      <c r="F27" s="4">
        <v>2</v>
      </c>
      <c r="G27" s="4">
        <v>2</v>
      </c>
      <c r="H27" s="4">
        <v>3</v>
      </c>
      <c r="I27" s="4">
        <v>2</v>
      </c>
      <c r="J27" s="4">
        <v>3</v>
      </c>
      <c r="K27" s="4">
        <v>2</v>
      </c>
      <c r="L27" s="4">
        <v>2</v>
      </c>
      <c r="M27" s="4">
        <v>2</v>
      </c>
    </row>
    <row r="28" spans="1:13" x14ac:dyDescent="0.35">
      <c r="A28" s="4" t="s">
        <v>160</v>
      </c>
      <c r="B28" s="4">
        <v>3</v>
      </c>
      <c r="C28" s="4">
        <v>2</v>
      </c>
      <c r="D28" s="4">
        <v>2</v>
      </c>
      <c r="E28" s="4">
        <v>2</v>
      </c>
      <c r="F28" s="4">
        <v>3</v>
      </c>
      <c r="G28" s="4">
        <v>2</v>
      </c>
      <c r="H28" s="4">
        <v>2</v>
      </c>
      <c r="I28" s="4">
        <v>2</v>
      </c>
      <c r="J28" s="4">
        <v>2</v>
      </c>
      <c r="K28" s="4">
        <v>2</v>
      </c>
      <c r="L28" s="4">
        <v>3</v>
      </c>
      <c r="M28" s="4">
        <v>2</v>
      </c>
    </row>
    <row r="29" spans="1:13" x14ac:dyDescent="0.35">
      <c r="A29" s="4" t="s">
        <v>151</v>
      </c>
      <c r="B29" s="4">
        <v>2</v>
      </c>
      <c r="C29" s="4">
        <v>1</v>
      </c>
      <c r="D29" s="4">
        <v>1</v>
      </c>
      <c r="E29" s="4">
        <v>3</v>
      </c>
      <c r="F29" s="4">
        <v>2</v>
      </c>
      <c r="G29" s="4">
        <v>3</v>
      </c>
      <c r="H29" s="4">
        <v>2</v>
      </c>
      <c r="I29" s="4">
        <v>2</v>
      </c>
      <c r="J29" s="4">
        <v>2</v>
      </c>
      <c r="K29" s="4">
        <v>2</v>
      </c>
      <c r="L29" s="4">
        <v>2</v>
      </c>
      <c r="M29" s="4">
        <v>3</v>
      </c>
    </row>
    <row r="30" spans="1:13" x14ac:dyDescent="0.35">
      <c r="A30" s="4" t="s">
        <v>307</v>
      </c>
      <c r="B30" s="4">
        <v>2</v>
      </c>
      <c r="C30" s="4">
        <v>2</v>
      </c>
      <c r="D30" s="4">
        <v>3</v>
      </c>
      <c r="E30" s="4">
        <v>2</v>
      </c>
      <c r="F30" s="4">
        <v>2</v>
      </c>
      <c r="G30" s="4">
        <v>2</v>
      </c>
      <c r="H30" s="4">
        <v>2</v>
      </c>
      <c r="I30" s="4">
        <v>3</v>
      </c>
      <c r="J30" s="4">
        <v>2</v>
      </c>
      <c r="K30" s="4">
        <v>3</v>
      </c>
      <c r="L30" s="4">
        <v>2</v>
      </c>
      <c r="M30" s="4">
        <v>2</v>
      </c>
    </row>
    <row r="31" spans="1:13" x14ac:dyDescent="0.35">
      <c r="A31" s="4" t="s">
        <v>308</v>
      </c>
      <c r="B31" s="4">
        <v>2</v>
      </c>
      <c r="C31" s="4">
        <v>3</v>
      </c>
      <c r="D31" s="4">
        <v>2</v>
      </c>
      <c r="E31" s="4">
        <v>2</v>
      </c>
      <c r="F31" s="4">
        <v>2</v>
      </c>
      <c r="G31" s="4">
        <v>2</v>
      </c>
      <c r="H31" s="4">
        <v>3</v>
      </c>
      <c r="I31" s="4">
        <v>2</v>
      </c>
      <c r="J31" s="4">
        <v>3</v>
      </c>
      <c r="K31" s="4">
        <v>2</v>
      </c>
      <c r="L31" s="4">
        <v>2</v>
      </c>
      <c r="M31" s="4">
        <v>2</v>
      </c>
    </row>
    <row r="32" spans="1:13" x14ac:dyDescent="0.35">
      <c r="A32" s="4" t="s">
        <v>309</v>
      </c>
      <c r="B32" s="4">
        <v>3</v>
      </c>
      <c r="C32" s="4">
        <v>1</v>
      </c>
      <c r="D32" s="4">
        <v>2</v>
      </c>
      <c r="E32" s="4">
        <v>2</v>
      </c>
      <c r="F32" s="4">
        <v>3</v>
      </c>
      <c r="G32" s="4">
        <v>2</v>
      </c>
      <c r="H32" s="4">
        <v>2</v>
      </c>
      <c r="I32" s="4">
        <v>1</v>
      </c>
      <c r="J32" s="4">
        <v>2</v>
      </c>
      <c r="K32" s="4">
        <v>2</v>
      </c>
      <c r="L32" s="4">
        <v>3</v>
      </c>
      <c r="M32" s="4">
        <v>2</v>
      </c>
    </row>
    <row r="33" spans="1:13" x14ac:dyDescent="0.35">
      <c r="A33" s="4" t="s">
        <v>310</v>
      </c>
      <c r="B33" s="4">
        <v>2</v>
      </c>
      <c r="C33" s="4">
        <v>2</v>
      </c>
      <c r="D33" s="4">
        <v>2</v>
      </c>
      <c r="E33" s="4">
        <v>3</v>
      </c>
      <c r="F33" s="4">
        <v>1</v>
      </c>
      <c r="G33" s="4">
        <v>3</v>
      </c>
      <c r="H33" s="4">
        <v>2</v>
      </c>
      <c r="I33" s="4">
        <v>2</v>
      </c>
      <c r="J33" s="4">
        <v>2</v>
      </c>
      <c r="K33" s="4">
        <v>2</v>
      </c>
      <c r="L33" s="4">
        <v>2</v>
      </c>
      <c r="M33" s="4">
        <v>3</v>
      </c>
    </row>
    <row r="34" spans="1:13" x14ac:dyDescent="0.35">
      <c r="A34" s="4" t="s">
        <v>311</v>
      </c>
      <c r="B34" s="4">
        <v>2</v>
      </c>
      <c r="C34" s="4">
        <v>3</v>
      </c>
      <c r="D34" s="4">
        <v>2</v>
      </c>
      <c r="E34" s="4">
        <v>3</v>
      </c>
      <c r="F34" s="4">
        <v>2</v>
      </c>
      <c r="G34" s="4">
        <v>3</v>
      </c>
      <c r="H34" s="4">
        <v>3</v>
      </c>
      <c r="I34" s="4">
        <v>2</v>
      </c>
      <c r="J34" s="4">
        <v>3</v>
      </c>
      <c r="K34" s="4">
        <v>2</v>
      </c>
      <c r="L34" s="4">
        <v>1</v>
      </c>
      <c r="M34" s="4">
        <v>3</v>
      </c>
    </row>
    <row r="35" spans="1:13" x14ac:dyDescent="0.35">
      <c r="A35" s="4" t="s">
        <v>312</v>
      </c>
      <c r="B35" s="4">
        <v>3</v>
      </c>
      <c r="C35" s="4">
        <v>3</v>
      </c>
      <c r="D35" s="4">
        <v>2</v>
      </c>
      <c r="E35" s="4">
        <v>2</v>
      </c>
      <c r="F35" s="4">
        <v>3</v>
      </c>
      <c r="G35" s="4">
        <v>2</v>
      </c>
      <c r="H35" s="4">
        <v>3</v>
      </c>
      <c r="I35" s="4">
        <v>2</v>
      </c>
      <c r="J35" s="4">
        <v>3</v>
      </c>
      <c r="K35" s="4">
        <v>2</v>
      </c>
      <c r="L35" s="4">
        <v>3</v>
      </c>
      <c r="M35" s="4">
        <v>2</v>
      </c>
    </row>
    <row r="36" spans="1:13" x14ac:dyDescent="0.35">
      <c r="A36" s="4" t="s">
        <v>313</v>
      </c>
      <c r="B36" s="4">
        <v>2</v>
      </c>
      <c r="C36" s="4">
        <v>2</v>
      </c>
      <c r="D36" s="4">
        <v>2</v>
      </c>
      <c r="E36" s="4">
        <v>3</v>
      </c>
      <c r="F36" s="4">
        <v>2</v>
      </c>
      <c r="G36" s="4">
        <v>3</v>
      </c>
      <c r="H36" s="4">
        <v>2</v>
      </c>
      <c r="I36" s="4">
        <v>2</v>
      </c>
      <c r="J36" s="4">
        <v>2</v>
      </c>
      <c r="K36" s="4">
        <v>2</v>
      </c>
      <c r="L36" s="4">
        <v>2</v>
      </c>
      <c r="M36" s="4">
        <v>3</v>
      </c>
    </row>
    <row r="37" spans="1:13" x14ac:dyDescent="0.35">
      <c r="A37" s="4" t="s">
        <v>314</v>
      </c>
      <c r="B37" s="4">
        <v>2</v>
      </c>
      <c r="C37" s="4">
        <v>3</v>
      </c>
      <c r="D37" s="4">
        <v>3</v>
      </c>
      <c r="E37" s="4">
        <v>2</v>
      </c>
      <c r="F37" s="4">
        <v>2</v>
      </c>
      <c r="G37" s="4">
        <v>2</v>
      </c>
      <c r="H37" s="4">
        <v>3</v>
      </c>
      <c r="I37" s="4">
        <v>3</v>
      </c>
      <c r="J37" s="4">
        <v>3</v>
      </c>
      <c r="K37" s="4">
        <v>3</v>
      </c>
      <c r="L37" s="4">
        <v>2</v>
      </c>
      <c r="M37" s="4">
        <v>2</v>
      </c>
    </row>
    <row r="38" spans="1:13" x14ac:dyDescent="0.35">
      <c r="A38" s="4" t="s">
        <v>315</v>
      </c>
      <c r="B38" s="4">
        <v>3</v>
      </c>
      <c r="C38" s="4">
        <v>2</v>
      </c>
      <c r="D38" s="4">
        <v>2</v>
      </c>
      <c r="E38" s="4">
        <v>3</v>
      </c>
      <c r="F38" s="4">
        <v>3</v>
      </c>
      <c r="G38" s="4">
        <v>3</v>
      </c>
      <c r="H38" s="4">
        <v>2</v>
      </c>
      <c r="I38" s="4">
        <v>2</v>
      </c>
      <c r="J38" s="4">
        <v>2</v>
      </c>
      <c r="K38" s="4">
        <v>2</v>
      </c>
      <c r="L38" s="4">
        <v>3</v>
      </c>
      <c r="M38" s="4">
        <v>3</v>
      </c>
    </row>
    <row r="39" spans="1:13" x14ac:dyDescent="0.35">
      <c r="A39" s="4" t="s">
        <v>316</v>
      </c>
      <c r="B39" s="4">
        <v>2</v>
      </c>
      <c r="C39" s="4">
        <v>3</v>
      </c>
      <c r="D39" s="4">
        <v>2</v>
      </c>
      <c r="E39" s="4">
        <v>2</v>
      </c>
      <c r="F39" s="4">
        <v>2</v>
      </c>
      <c r="G39" s="4">
        <v>2</v>
      </c>
      <c r="H39" s="4">
        <v>3</v>
      </c>
      <c r="I39" s="4">
        <v>2</v>
      </c>
      <c r="J39" s="4">
        <v>3</v>
      </c>
      <c r="K39" s="4">
        <v>2</v>
      </c>
      <c r="L39" s="4">
        <v>2</v>
      </c>
      <c r="M39" s="4">
        <v>1</v>
      </c>
    </row>
    <row r="40" spans="1:13" x14ac:dyDescent="0.35">
      <c r="A40" s="4" t="s">
        <v>178</v>
      </c>
      <c r="B40" s="4">
        <v>3</v>
      </c>
      <c r="C40" s="4">
        <v>2</v>
      </c>
      <c r="D40" s="4">
        <v>2</v>
      </c>
      <c r="E40" s="4">
        <v>2</v>
      </c>
      <c r="F40" s="4">
        <v>3</v>
      </c>
      <c r="G40" s="4">
        <v>2</v>
      </c>
      <c r="H40" s="4">
        <v>2</v>
      </c>
      <c r="I40" s="4">
        <v>2</v>
      </c>
      <c r="J40" s="4">
        <v>2</v>
      </c>
      <c r="K40" s="4">
        <v>2</v>
      </c>
      <c r="L40" s="4">
        <v>3</v>
      </c>
      <c r="M40" s="4">
        <v>2</v>
      </c>
    </row>
    <row r="41" spans="1:13" x14ac:dyDescent="0.35">
      <c r="A41" s="4" t="s">
        <v>317</v>
      </c>
      <c r="B41" s="4">
        <v>2</v>
      </c>
      <c r="C41" s="4">
        <v>2</v>
      </c>
      <c r="D41" s="4">
        <v>2</v>
      </c>
      <c r="E41" s="4">
        <v>3</v>
      </c>
      <c r="F41" s="4">
        <v>2</v>
      </c>
      <c r="G41" s="4">
        <v>3</v>
      </c>
      <c r="H41" s="4">
        <v>2</v>
      </c>
      <c r="I41" s="4">
        <v>2</v>
      </c>
      <c r="J41" s="4">
        <v>2</v>
      </c>
      <c r="K41" s="4">
        <v>2</v>
      </c>
      <c r="L41" s="4">
        <v>2</v>
      </c>
      <c r="M41" s="4">
        <v>3</v>
      </c>
    </row>
    <row r="42" spans="1:13" x14ac:dyDescent="0.35">
      <c r="A42" s="4" t="s">
        <v>318</v>
      </c>
      <c r="B42" s="4">
        <v>3</v>
      </c>
      <c r="C42" s="4">
        <v>2</v>
      </c>
      <c r="D42" s="4">
        <v>3</v>
      </c>
      <c r="E42" s="4">
        <v>2</v>
      </c>
      <c r="F42" s="4">
        <v>3</v>
      </c>
      <c r="G42" s="4">
        <v>2</v>
      </c>
      <c r="H42" s="4">
        <v>2</v>
      </c>
      <c r="I42" s="4">
        <v>3</v>
      </c>
      <c r="J42" s="4">
        <v>2</v>
      </c>
      <c r="K42" s="4">
        <v>3</v>
      </c>
      <c r="L42" s="4">
        <v>3</v>
      </c>
      <c r="M42" s="4">
        <v>2</v>
      </c>
    </row>
    <row r="43" spans="1:13" x14ac:dyDescent="0.35">
      <c r="A43" s="4" t="s">
        <v>319</v>
      </c>
      <c r="B43" s="4">
        <v>2</v>
      </c>
      <c r="C43" s="4">
        <v>3</v>
      </c>
      <c r="D43" s="4">
        <v>2</v>
      </c>
      <c r="E43" s="4">
        <v>3</v>
      </c>
      <c r="F43" s="4">
        <v>1</v>
      </c>
      <c r="G43" s="4">
        <v>2</v>
      </c>
      <c r="H43" s="4">
        <v>3</v>
      </c>
      <c r="I43" s="4">
        <v>2</v>
      </c>
      <c r="J43" s="4">
        <v>3</v>
      </c>
      <c r="K43" s="4">
        <v>2</v>
      </c>
      <c r="L43" s="4">
        <v>1</v>
      </c>
      <c r="M43" s="4">
        <v>3</v>
      </c>
    </row>
    <row r="44" spans="1:13" x14ac:dyDescent="0.35">
      <c r="A44" s="4" t="s">
        <v>320</v>
      </c>
      <c r="B44" s="4">
        <v>3</v>
      </c>
      <c r="C44" s="4">
        <v>2</v>
      </c>
      <c r="D44" s="4">
        <v>1</v>
      </c>
      <c r="E44" s="4">
        <v>1</v>
      </c>
      <c r="F44" s="4">
        <v>3</v>
      </c>
      <c r="G44" s="4">
        <v>2</v>
      </c>
      <c r="H44" s="4">
        <v>2</v>
      </c>
      <c r="I44" s="4">
        <v>1</v>
      </c>
      <c r="J44" s="4">
        <v>2</v>
      </c>
      <c r="K44" s="4">
        <v>1</v>
      </c>
      <c r="L44" s="4">
        <v>3</v>
      </c>
      <c r="M44" s="4">
        <v>1</v>
      </c>
    </row>
    <row r="45" spans="1:13" x14ac:dyDescent="0.35">
      <c r="A45" s="4" t="s">
        <v>321</v>
      </c>
      <c r="B45" s="4">
        <v>2</v>
      </c>
      <c r="C45" s="4">
        <v>2</v>
      </c>
      <c r="D45" s="4">
        <v>2</v>
      </c>
      <c r="E45" s="4">
        <v>3</v>
      </c>
      <c r="F45" s="4">
        <v>2</v>
      </c>
      <c r="G45" s="4">
        <v>3</v>
      </c>
      <c r="H45" s="4">
        <v>2</v>
      </c>
      <c r="I45" s="4">
        <v>2</v>
      </c>
      <c r="J45" s="4">
        <v>2</v>
      </c>
      <c r="K45" s="4">
        <v>2</v>
      </c>
      <c r="L45" s="4">
        <v>2</v>
      </c>
      <c r="M45" s="4">
        <v>3</v>
      </c>
    </row>
    <row r="46" spans="1:13" x14ac:dyDescent="0.35">
      <c r="A46" s="4" t="s">
        <v>322</v>
      </c>
      <c r="B46" s="4">
        <v>2</v>
      </c>
      <c r="C46" s="4">
        <v>2</v>
      </c>
      <c r="D46" s="4">
        <v>3</v>
      </c>
      <c r="E46" s="4">
        <v>2</v>
      </c>
      <c r="F46" s="4">
        <v>2</v>
      </c>
      <c r="G46" s="4">
        <v>2</v>
      </c>
      <c r="H46" s="4">
        <v>2</v>
      </c>
      <c r="I46" s="4">
        <v>3</v>
      </c>
      <c r="J46" s="4">
        <v>2</v>
      </c>
      <c r="K46" s="4">
        <v>3</v>
      </c>
      <c r="L46" s="4">
        <v>2</v>
      </c>
      <c r="M46" s="4">
        <v>2</v>
      </c>
    </row>
    <row r="47" spans="1:13" x14ac:dyDescent="0.35">
      <c r="A47" s="4" t="s">
        <v>323</v>
      </c>
      <c r="B47" s="4">
        <v>2</v>
      </c>
      <c r="C47" s="4">
        <v>2</v>
      </c>
      <c r="D47" s="4">
        <v>3</v>
      </c>
      <c r="E47" s="4">
        <v>2</v>
      </c>
      <c r="F47" s="4">
        <v>2</v>
      </c>
      <c r="G47" s="4">
        <v>2</v>
      </c>
      <c r="H47" s="4">
        <v>2</v>
      </c>
      <c r="I47" s="4">
        <v>3</v>
      </c>
      <c r="J47" s="4">
        <v>2</v>
      </c>
      <c r="K47" s="4">
        <v>3</v>
      </c>
      <c r="L47" s="4">
        <v>2</v>
      </c>
      <c r="M47" s="4">
        <v>2</v>
      </c>
    </row>
    <row r="48" spans="1:13" x14ac:dyDescent="0.35">
      <c r="A48" s="4" t="s">
        <v>149</v>
      </c>
      <c r="B48" s="4">
        <v>2</v>
      </c>
      <c r="C48" s="4">
        <v>3</v>
      </c>
      <c r="D48" s="4">
        <v>2</v>
      </c>
      <c r="E48" s="4">
        <v>2</v>
      </c>
      <c r="F48" s="4">
        <v>2</v>
      </c>
      <c r="G48" s="4">
        <v>2</v>
      </c>
      <c r="H48" s="4">
        <v>3</v>
      </c>
      <c r="I48" s="4">
        <v>2</v>
      </c>
      <c r="J48" s="4">
        <v>3</v>
      </c>
      <c r="K48" s="4">
        <v>2</v>
      </c>
      <c r="L48" s="4">
        <v>2</v>
      </c>
      <c r="M48" s="4">
        <v>2</v>
      </c>
    </row>
    <row r="49" spans="1:18" x14ac:dyDescent="0.35">
      <c r="A49" s="4" t="s">
        <v>324</v>
      </c>
      <c r="B49" s="4">
        <v>2</v>
      </c>
      <c r="C49" s="4">
        <v>2</v>
      </c>
      <c r="D49" s="4">
        <v>2</v>
      </c>
      <c r="E49" s="4">
        <v>3</v>
      </c>
      <c r="F49" s="4">
        <v>2</v>
      </c>
      <c r="G49" s="4">
        <v>3</v>
      </c>
      <c r="H49" s="4">
        <v>2</v>
      </c>
      <c r="I49" s="4">
        <v>2</v>
      </c>
      <c r="J49" s="4">
        <v>2</v>
      </c>
      <c r="K49" s="4">
        <v>2</v>
      </c>
      <c r="L49" s="4">
        <v>2</v>
      </c>
      <c r="M49" s="4">
        <v>3</v>
      </c>
    </row>
    <row r="50" spans="1:18" x14ac:dyDescent="0.35">
      <c r="A50" s="4" t="s">
        <v>325</v>
      </c>
      <c r="B50" s="4">
        <v>2</v>
      </c>
      <c r="C50" s="4">
        <v>2</v>
      </c>
      <c r="D50" s="4">
        <v>3</v>
      </c>
      <c r="E50" s="4">
        <v>2</v>
      </c>
      <c r="F50" s="4">
        <v>2</v>
      </c>
      <c r="G50" s="4">
        <v>2</v>
      </c>
      <c r="H50" s="4">
        <v>1</v>
      </c>
      <c r="I50" s="4">
        <v>3</v>
      </c>
      <c r="J50" s="4">
        <v>2</v>
      </c>
      <c r="K50" s="4">
        <v>3</v>
      </c>
      <c r="L50" s="4">
        <v>2</v>
      </c>
      <c r="M50" s="4">
        <v>2</v>
      </c>
    </row>
    <row r="51" spans="1:18" x14ac:dyDescent="0.35">
      <c r="A51" s="4" t="s">
        <v>326</v>
      </c>
      <c r="B51" s="4">
        <v>1</v>
      </c>
      <c r="C51" s="4">
        <v>2</v>
      </c>
      <c r="D51" s="4">
        <v>3</v>
      </c>
      <c r="E51" s="4">
        <v>2</v>
      </c>
      <c r="F51" s="4">
        <v>2</v>
      </c>
      <c r="G51" s="4">
        <v>2</v>
      </c>
      <c r="H51" s="4">
        <v>2</v>
      </c>
      <c r="I51" s="4">
        <v>3</v>
      </c>
      <c r="J51" s="4">
        <v>2</v>
      </c>
      <c r="K51" s="4">
        <v>3</v>
      </c>
      <c r="L51" s="4">
        <v>2</v>
      </c>
      <c r="M51" s="4">
        <v>2</v>
      </c>
    </row>
    <row r="52" spans="1:18" x14ac:dyDescent="0.35">
      <c r="A52" s="4" t="s">
        <v>327</v>
      </c>
      <c r="B52" s="4">
        <v>3</v>
      </c>
      <c r="C52" s="4">
        <v>2</v>
      </c>
      <c r="D52" s="4">
        <v>2</v>
      </c>
      <c r="E52" s="4">
        <v>2</v>
      </c>
      <c r="F52" s="4">
        <v>3</v>
      </c>
      <c r="G52" s="4">
        <v>2</v>
      </c>
      <c r="H52" s="4">
        <v>2</v>
      </c>
      <c r="I52" s="4">
        <v>2</v>
      </c>
      <c r="J52" s="4">
        <v>2</v>
      </c>
      <c r="K52" s="4">
        <v>2</v>
      </c>
      <c r="L52" s="4">
        <v>3</v>
      </c>
      <c r="M52" s="4">
        <v>2</v>
      </c>
    </row>
    <row r="53" spans="1:18" x14ac:dyDescent="0.35">
      <c r="A53" s="4" t="s">
        <v>328</v>
      </c>
      <c r="B53" s="4">
        <v>2</v>
      </c>
      <c r="C53" s="4">
        <v>3</v>
      </c>
      <c r="D53" s="4">
        <v>3</v>
      </c>
      <c r="E53" s="4">
        <v>2</v>
      </c>
      <c r="F53" s="4">
        <v>2</v>
      </c>
      <c r="G53" s="4">
        <v>2</v>
      </c>
      <c r="H53" s="4">
        <v>3</v>
      </c>
      <c r="I53" s="4">
        <v>3</v>
      </c>
      <c r="J53" s="4">
        <v>3</v>
      </c>
      <c r="K53" s="4">
        <v>3</v>
      </c>
      <c r="L53" s="4">
        <v>2</v>
      </c>
      <c r="M53" s="4">
        <v>2</v>
      </c>
    </row>
    <row r="54" spans="1:18" x14ac:dyDescent="0.35">
      <c r="A54" s="4" t="s">
        <v>329</v>
      </c>
      <c r="B54" s="4">
        <v>2</v>
      </c>
      <c r="C54" s="4">
        <v>3</v>
      </c>
      <c r="D54" s="4">
        <v>2</v>
      </c>
      <c r="E54" s="4">
        <v>3</v>
      </c>
      <c r="F54" s="4">
        <v>2</v>
      </c>
      <c r="G54" s="4">
        <v>3</v>
      </c>
      <c r="H54" s="4">
        <v>3</v>
      </c>
      <c r="I54" s="4">
        <v>2</v>
      </c>
      <c r="J54" s="4">
        <v>3</v>
      </c>
      <c r="K54" s="4">
        <v>2</v>
      </c>
      <c r="L54" s="4">
        <v>2</v>
      </c>
      <c r="M54" s="4">
        <v>3</v>
      </c>
    </row>
    <row r="55" spans="1:18" x14ac:dyDescent="0.35">
      <c r="A55" s="4" t="s">
        <v>330</v>
      </c>
      <c r="B55" s="4">
        <v>3</v>
      </c>
      <c r="C55" s="4">
        <v>3</v>
      </c>
      <c r="D55" s="4">
        <v>2</v>
      </c>
      <c r="E55" s="4">
        <v>2</v>
      </c>
      <c r="F55" s="4">
        <v>3</v>
      </c>
      <c r="G55" s="4">
        <v>2</v>
      </c>
      <c r="H55" s="4">
        <v>3</v>
      </c>
      <c r="I55" s="4">
        <v>1</v>
      </c>
      <c r="J55" s="4">
        <v>3</v>
      </c>
      <c r="K55" s="4">
        <v>2</v>
      </c>
      <c r="L55" s="4">
        <v>3</v>
      </c>
      <c r="M55" s="4">
        <v>2</v>
      </c>
    </row>
    <row r="58" spans="1:18" x14ac:dyDescent="0.35">
      <c r="A58" s="70" t="s">
        <v>76</v>
      </c>
      <c r="B58" s="70"/>
      <c r="C58" s="70"/>
      <c r="D58" s="70"/>
      <c r="E58" s="70"/>
      <c r="F58" s="70"/>
      <c r="G58" s="70"/>
      <c r="H58" s="70"/>
      <c r="I58" s="70"/>
      <c r="J58" s="70"/>
      <c r="K58" s="70"/>
      <c r="L58" s="70"/>
      <c r="M58" s="70"/>
    </row>
    <row r="59" spans="1:18" ht="15.5" x14ac:dyDescent="0.35">
      <c r="A59" s="59" t="s">
        <v>0</v>
      </c>
      <c r="B59" s="59" t="s">
        <v>192</v>
      </c>
      <c r="C59" s="59" t="s">
        <v>193</v>
      </c>
      <c r="D59" s="59" t="s">
        <v>194</v>
      </c>
      <c r="E59" s="59" t="s">
        <v>195</v>
      </c>
      <c r="F59" s="59" t="s">
        <v>199</v>
      </c>
      <c r="G59" s="59" t="s">
        <v>200</v>
      </c>
      <c r="H59" s="59" t="s">
        <v>201</v>
      </c>
      <c r="I59" s="59" t="s">
        <v>202</v>
      </c>
      <c r="J59" s="59" t="s">
        <v>205</v>
      </c>
      <c r="K59" s="59" t="s">
        <v>206</v>
      </c>
      <c r="L59" s="59" t="s">
        <v>207</v>
      </c>
      <c r="M59" s="59" t="s">
        <v>208</v>
      </c>
      <c r="N59" s="67"/>
      <c r="O59" s="67"/>
      <c r="P59" s="67"/>
      <c r="Q59" s="67"/>
      <c r="R59" s="67"/>
    </row>
    <row r="60" spans="1:18" x14ac:dyDescent="0.35">
      <c r="A60" s="4" t="s">
        <v>287</v>
      </c>
      <c r="B60" s="4">
        <v>3</v>
      </c>
      <c r="C60" s="4">
        <v>2</v>
      </c>
      <c r="D60" s="4">
        <v>2</v>
      </c>
      <c r="E60" s="4">
        <v>2</v>
      </c>
      <c r="F60" s="4">
        <v>3</v>
      </c>
      <c r="G60" s="4">
        <v>2</v>
      </c>
      <c r="H60" s="4">
        <v>2</v>
      </c>
      <c r="I60" s="4">
        <v>1</v>
      </c>
      <c r="J60" s="4">
        <v>2</v>
      </c>
      <c r="K60" s="4">
        <v>2</v>
      </c>
      <c r="L60" s="4">
        <v>3</v>
      </c>
      <c r="M60" s="4">
        <v>1</v>
      </c>
    </row>
    <row r="61" spans="1:18" x14ac:dyDescent="0.35">
      <c r="A61" s="4" t="s">
        <v>288</v>
      </c>
      <c r="B61" s="4">
        <v>1</v>
      </c>
      <c r="C61" s="4">
        <v>3</v>
      </c>
      <c r="D61" s="4">
        <v>2</v>
      </c>
      <c r="E61" s="4">
        <v>1</v>
      </c>
      <c r="F61" s="4">
        <v>2</v>
      </c>
      <c r="G61" s="4">
        <v>2</v>
      </c>
      <c r="H61" s="4">
        <v>3</v>
      </c>
      <c r="I61" s="4">
        <v>2</v>
      </c>
      <c r="J61" s="4">
        <v>3</v>
      </c>
      <c r="K61" s="4">
        <v>2</v>
      </c>
      <c r="L61" s="4">
        <v>2</v>
      </c>
      <c r="M61" s="4">
        <v>1</v>
      </c>
    </row>
    <row r="62" spans="1:18" x14ac:dyDescent="0.35">
      <c r="A62" s="4" t="s">
        <v>296</v>
      </c>
      <c r="B62" s="4">
        <v>2</v>
      </c>
      <c r="C62" s="4">
        <v>2</v>
      </c>
      <c r="D62" s="4">
        <v>3</v>
      </c>
      <c r="E62" s="4">
        <v>2</v>
      </c>
      <c r="F62" s="4">
        <v>2</v>
      </c>
      <c r="G62" s="4">
        <v>2</v>
      </c>
      <c r="H62" s="4">
        <v>2</v>
      </c>
      <c r="I62" s="4">
        <v>3</v>
      </c>
      <c r="J62" s="4">
        <v>2</v>
      </c>
      <c r="K62" s="4">
        <v>3</v>
      </c>
      <c r="L62" s="4">
        <v>2</v>
      </c>
      <c r="M62" s="4">
        <v>2</v>
      </c>
    </row>
    <row r="63" spans="1:18" x14ac:dyDescent="0.35">
      <c r="A63" s="4" t="s">
        <v>146</v>
      </c>
      <c r="B63" s="4">
        <v>2</v>
      </c>
      <c r="C63" s="4">
        <v>2</v>
      </c>
      <c r="D63" s="4">
        <v>2</v>
      </c>
      <c r="E63" s="4">
        <v>3</v>
      </c>
      <c r="F63" s="4">
        <v>2</v>
      </c>
      <c r="G63" s="4">
        <v>3</v>
      </c>
      <c r="H63" s="4">
        <v>2</v>
      </c>
      <c r="I63" s="4">
        <v>1</v>
      </c>
      <c r="J63" s="4">
        <v>2</v>
      </c>
      <c r="K63" s="4">
        <v>2</v>
      </c>
      <c r="L63" s="4">
        <v>1</v>
      </c>
      <c r="M63" s="4">
        <v>3</v>
      </c>
    </row>
    <row r="64" spans="1:18" x14ac:dyDescent="0.35">
      <c r="A64" s="30"/>
    </row>
    <row r="65" spans="1:16" x14ac:dyDescent="0.35">
      <c r="A65" s="30"/>
    </row>
    <row r="66" spans="1:16" x14ac:dyDescent="0.35">
      <c r="A66" s="70" t="s">
        <v>251</v>
      </c>
      <c r="B66" s="70"/>
      <c r="C66" s="70"/>
      <c r="D66" s="70"/>
      <c r="E66" s="70"/>
      <c r="F66" s="70"/>
      <c r="G66" s="70"/>
      <c r="H66" s="70"/>
      <c r="I66" s="113"/>
      <c r="J66" s="113"/>
    </row>
    <row r="67" spans="1:16" x14ac:dyDescent="0.35">
      <c r="A67" s="43" t="s">
        <v>236</v>
      </c>
      <c r="B67" s="43" t="s">
        <v>0</v>
      </c>
      <c r="C67" s="45" t="s">
        <v>49</v>
      </c>
      <c r="D67" s="45" t="s">
        <v>53</v>
      </c>
      <c r="E67" s="45" t="s">
        <v>58</v>
      </c>
      <c r="F67" s="45" t="s">
        <v>59</v>
      </c>
      <c r="G67" s="42" t="s">
        <v>86</v>
      </c>
      <c r="H67" s="42" t="s">
        <v>87</v>
      </c>
      <c r="I67" s="109"/>
      <c r="J67" s="110"/>
      <c r="M67" s="42" t="s">
        <v>186</v>
      </c>
      <c r="N67" s="42" t="s">
        <v>331</v>
      </c>
      <c r="O67" s="42" t="s">
        <v>332</v>
      </c>
      <c r="P67" s="42" t="s">
        <v>333</v>
      </c>
    </row>
    <row r="68" spans="1:16" x14ac:dyDescent="0.35">
      <c r="A68" s="4">
        <v>1</v>
      </c>
      <c r="B68" s="4" t="s">
        <v>287</v>
      </c>
      <c r="C68" s="4">
        <f>SQRT(SUMXMY2(B2:M2, $B$60:$M$60))</f>
        <v>0</v>
      </c>
      <c r="D68" s="4">
        <f>SQRT(SUMXMY2(B2:M2, $B$61:$M$61))</f>
        <v>3.3166247903553998</v>
      </c>
      <c r="E68" s="4">
        <f>SQRT(SUMXMY2(B2:M2, $B$62:$M$62))</f>
        <v>3.1622776601683795</v>
      </c>
      <c r="F68" s="4">
        <f>SQRT(SUMXMY2(B2:M2, $B$63:$M$63))</f>
        <v>3.4641016151377544</v>
      </c>
      <c r="G68" s="4">
        <f>MIN(C68:F68)</f>
        <v>0</v>
      </c>
      <c r="H68" s="4" t="str">
        <f t="shared" ref="H68:H92" si="0">"C"&amp;MATCH(G68,C68:F68,0)</f>
        <v>C1</v>
      </c>
      <c r="J68" s="108"/>
      <c r="M68" s="71" t="s">
        <v>334</v>
      </c>
      <c r="N68" s="41" t="str" cm="1">
        <f t="array" ref="N68:N79">_xlfn._xlws.FILTER(B68:B121,H68:H121="C1")</f>
        <v>arhan</v>
      </c>
      <c r="O68" s="72">
        <v>12</v>
      </c>
      <c r="P68" s="4">
        <f>SUM(O68:O121)</f>
        <v>54</v>
      </c>
    </row>
    <row r="69" spans="1:16" x14ac:dyDescent="0.35">
      <c r="A69" s="4">
        <v>2</v>
      </c>
      <c r="B69" s="4" t="s">
        <v>288</v>
      </c>
      <c r="C69" s="4">
        <f t="shared" ref="C69:C121" si="1">SQRT(SUMXMY2(B3:M3, $B$60:$M$60))</f>
        <v>3.3166247903553998</v>
      </c>
      <c r="D69" s="4">
        <f t="shared" ref="D69:D121" si="2">SQRT(SUMXMY2(B3:M3, $B$61:$M$61))</f>
        <v>0</v>
      </c>
      <c r="E69" s="4">
        <f t="shared" ref="E69:E120" si="3">SQRT(SUMXMY2(B3:M3, $B$62:$M$62))</f>
        <v>3</v>
      </c>
      <c r="F69" s="4">
        <f t="shared" ref="F69:F121" si="4">SQRT(SUMXMY2(B3:M3, $B$63:$M$63))</f>
        <v>3.872983346207417</v>
      </c>
      <c r="G69" s="4">
        <f t="shared" ref="G69:G121" si="5">MIN(C69:F69)</f>
        <v>0</v>
      </c>
      <c r="H69" s="4" t="str">
        <f t="shared" si="0"/>
        <v>C2</v>
      </c>
      <c r="I69" s="108"/>
      <c r="J69" s="108"/>
      <c r="M69" s="72"/>
      <c r="N69" s="41" t="str">
        <v>rama</v>
      </c>
      <c r="O69" s="72"/>
    </row>
    <row r="70" spans="1:16" x14ac:dyDescent="0.35">
      <c r="A70" s="4">
        <v>3</v>
      </c>
      <c r="B70" s="4" t="s">
        <v>289</v>
      </c>
      <c r="C70" s="4">
        <f t="shared" si="1"/>
        <v>2.6457513110645907</v>
      </c>
      <c r="D70" s="4">
        <f t="shared" si="2"/>
        <v>3.7416573867739413</v>
      </c>
      <c r="E70" s="4">
        <f>SQRT(SUMXMY2(B4:M4, $B$62:$M$62))</f>
        <v>1.7320508075688772</v>
      </c>
      <c r="F70" s="4">
        <f t="shared" si="4"/>
        <v>3.872983346207417</v>
      </c>
      <c r="G70" s="4">
        <f t="shared" si="5"/>
        <v>1.7320508075688772</v>
      </c>
      <c r="H70" s="4" t="str">
        <f t="shared" si="0"/>
        <v>C3</v>
      </c>
      <c r="I70" s="108"/>
      <c r="J70" s="108"/>
      <c r="M70" s="72"/>
      <c r="N70" s="41" t="str">
        <v>sofia</v>
      </c>
      <c r="O70" s="72"/>
    </row>
    <row r="71" spans="1:16" x14ac:dyDescent="0.35">
      <c r="A71" s="4">
        <v>4</v>
      </c>
      <c r="B71" s="4" t="s">
        <v>146</v>
      </c>
      <c r="C71" s="4">
        <f t="shared" si="1"/>
        <v>3.4641016151377544</v>
      </c>
      <c r="D71" s="4">
        <f t="shared" si="2"/>
        <v>3.872983346207417</v>
      </c>
      <c r="E71" s="4">
        <f t="shared" si="3"/>
        <v>3.1622776601683795</v>
      </c>
      <c r="F71" s="4">
        <f t="shared" si="4"/>
        <v>0</v>
      </c>
      <c r="G71" s="4">
        <f t="shared" si="5"/>
        <v>0</v>
      </c>
      <c r="H71" s="4" t="str">
        <f t="shared" si="0"/>
        <v>C4</v>
      </c>
      <c r="I71" s="108"/>
      <c r="J71" s="108"/>
      <c r="M71" s="72"/>
      <c r="N71" s="41" t="str">
        <v>gagang</v>
      </c>
      <c r="O71" s="72"/>
    </row>
    <row r="72" spans="1:16" x14ac:dyDescent="0.35">
      <c r="A72" s="4">
        <v>5</v>
      </c>
      <c r="B72" s="4" t="s">
        <v>134</v>
      </c>
      <c r="C72" s="4">
        <f t="shared" si="1"/>
        <v>4.1231056256176606</v>
      </c>
      <c r="D72" s="4">
        <f t="shared" si="2"/>
        <v>1.4142135623730951</v>
      </c>
      <c r="E72" s="4">
        <f t="shared" si="3"/>
        <v>3.3166247903553998</v>
      </c>
      <c r="F72" s="4">
        <f t="shared" si="4"/>
        <v>3.872983346207417</v>
      </c>
      <c r="G72" s="4">
        <f t="shared" si="5"/>
        <v>1.4142135623730951</v>
      </c>
      <c r="H72" s="4" t="str">
        <f t="shared" si="0"/>
        <v>C2</v>
      </c>
      <c r="I72" s="108"/>
      <c r="J72" s="108"/>
      <c r="M72" s="72"/>
      <c r="N72" s="4" t="str">
        <v>andhika</v>
      </c>
      <c r="O72" s="72"/>
    </row>
    <row r="73" spans="1:16" x14ac:dyDescent="0.35">
      <c r="A73" s="4">
        <v>6</v>
      </c>
      <c r="B73" s="4" t="s">
        <v>244</v>
      </c>
      <c r="C73" s="4">
        <f t="shared" si="1"/>
        <v>3.6055512754639891</v>
      </c>
      <c r="D73" s="4">
        <f t="shared" si="2"/>
        <v>4</v>
      </c>
      <c r="E73" s="4">
        <f t="shared" si="3"/>
        <v>3.6055512754639891</v>
      </c>
      <c r="F73" s="4">
        <f t="shared" si="4"/>
        <v>1.7320508075688772</v>
      </c>
      <c r="G73" s="4">
        <f t="shared" si="5"/>
        <v>1.7320508075688772</v>
      </c>
      <c r="H73" s="4" t="str">
        <f t="shared" si="0"/>
        <v>C4</v>
      </c>
      <c r="I73" s="108"/>
      <c r="J73" s="108"/>
      <c r="M73" s="72"/>
      <c r="N73" s="4" t="str">
        <v>niko</v>
      </c>
      <c r="O73" s="72"/>
    </row>
    <row r="74" spans="1:16" x14ac:dyDescent="0.35">
      <c r="A74" s="4">
        <v>7</v>
      </c>
      <c r="B74" s="4" t="s">
        <v>290</v>
      </c>
      <c r="C74" s="4">
        <f t="shared" si="1"/>
        <v>2.2360679774997898</v>
      </c>
      <c r="D74" s="4">
        <f t="shared" si="2"/>
        <v>3.1622776601683795</v>
      </c>
      <c r="E74" s="4">
        <f t="shared" si="3"/>
        <v>3.3166247903553998</v>
      </c>
      <c r="F74" s="4">
        <f t="shared" si="4"/>
        <v>3.6055512754639891</v>
      </c>
      <c r="G74" s="4">
        <f t="shared" si="5"/>
        <v>2.2360679774997898</v>
      </c>
      <c r="H74" s="4" t="str">
        <f t="shared" si="0"/>
        <v>C1</v>
      </c>
      <c r="I74" s="108"/>
      <c r="J74" s="108"/>
      <c r="M74" s="72"/>
      <c r="N74" s="4" t="str">
        <v>fidela</v>
      </c>
      <c r="O74" s="72"/>
    </row>
    <row r="75" spans="1:16" x14ac:dyDescent="0.35">
      <c r="A75" s="4">
        <v>8</v>
      </c>
      <c r="B75" s="4" t="s">
        <v>291</v>
      </c>
      <c r="C75" s="4">
        <f t="shared" si="1"/>
        <v>2.2360679774997898</v>
      </c>
      <c r="D75" s="4">
        <f t="shared" si="2"/>
        <v>2.4494897427831779</v>
      </c>
      <c r="E75" s="4">
        <f t="shared" si="3"/>
        <v>1.7320508075688772</v>
      </c>
      <c r="F75" s="4">
        <f t="shared" si="4"/>
        <v>2.2360679774997898</v>
      </c>
      <c r="G75" s="4">
        <f t="shared" si="5"/>
        <v>1.7320508075688772</v>
      </c>
      <c r="H75" s="4" t="str">
        <f t="shared" si="0"/>
        <v>C3</v>
      </c>
      <c r="I75" s="108"/>
      <c r="J75" s="108"/>
      <c r="M75" s="72"/>
      <c r="N75" s="4" t="str">
        <v>dian</v>
      </c>
      <c r="O75" s="72"/>
    </row>
    <row r="76" spans="1:16" x14ac:dyDescent="0.35">
      <c r="A76" s="4">
        <v>9</v>
      </c>
      <c r="B76" s="4" t="s">
        <v>140</v>
      </c>
      <c r="C76" s="4">
        <f t="shared" si="1"/>
        <v>3.3166247903553998</v>
      </c>
      <c r="D76" s="4">
        <f t="shared" si="2"/>
        <v>2</v>
      </c>
      <c r="E76" s="4">
        <f t="shared" si="3"/>
        <v>2.6457513110645907</v>
      </c>
      <c r="F76" s="4">
        <f t="shared" si="4"/>
        <v>2.6457513110645907</v>
      </c>
      <c r="G76" s="4">
        <f t="shared" si="5"/>
        <v>2</v>
      </c>
      <c r="H76" s="4" t="str">
        <f t="shared" si="0"/>
        <v>C2</v>
      </c>
      <c r="I76" s="108"/>
      <c r="J76" s="108"/>
      <c r="M76" s="72"/>
      <c r="N76" s="4" t="str">
        <v>ryan</v>
      </c>
      <c r="O76" s="72"/>
    </row>
    <row r="77" spans="1:16" x14ac:dyDescent="0.35">
      <c r="A77" s="4">
        <v>10</v>
      </c>
      <c r="B77" s="4" t="s">
        <v>292</v>
      </c>
      <c r="C77" s="4">
        <f t="shared" si="1"/>
        <v>2.8284271247461903</v>
      </c>
      <c r="D77" s="4">
        <f t="shared" si="2"/>
        <v>1.7320508075688772</v>
      </c>
      <c r="E77" s="4">
        <f t="shared" si="3"/>
        <v>2.4494897427831779</v>
      </c>
      <c r="F77" s="4">
        <f t="shared" si="4"/>
        <v>2.8284271247461903</v>
      </c>
      <c r="G77" s="4">
        <f t="shared" si="5"/>
        <v>1.7320508075688772</v>
      </c>
      <c r="H77" s="4" t="str">
        <f t="shared" si="0"/>
        <v>C2</v>
      </c>
      <c r="I77" s="108"/>
      <c r="J77" s="108"/>
      <c r="M77" s="72"/>
      <c r="N77" s="4" t="str">
        <v>yana</v>
      </c>
      <c r="O77" s="72"/>
    </row>
    <row r="78" spans="1:16" x14ac:dyDescent="0.35">
      <c r="A78" s="4">
        <v>11</v>
      </c>
      <c r="B78" s="4" t="s">
        <v>293</v>
      </c>
      <c r="C78" s="4">
        <f t="shared" si="1"/>
        <v>3.1622776601683795</v>
      </c>
      <c r="D78" s="4">
        <f t="shared" si="2"/>
        <v>3.6055512754639891</v>
      </c>
      <c r="E78" s="4">
        <f t="shared" si="3"/>
        <v>2.4494897427831779</v>
      </c>
      <c r="F78" s="4">
        <f t="shared" si="4"/>
        <v>1.4142135623730951</v>
      </c>
      <c r="G78" s="4">
        <f t="shared" si="5"/>
        <v>1.4142135623730951</v>
      </c>
      <c r="H78" s="4" t="str">
        <f t="shared" si="0"/>
        <v>C4</v>
      </c>
      <c r="I78" s="108"/>
      <c r="J78" s="108"/>
      <c r="M78" s="72"/>
      <c r="N78" s="4" t="str">
        <v>bryan</v>
      </c>
      <c r="O78" s="72"/>
    </row>
    <row r="79" spans="1:16" x14ac:dyDescent="0.35">
      <c r="A79" s="4">
        <v>12</v>
      </c>
      <c r="B79" s="4" t="s">
        <v>294</v>
      </c>
      <c r="C79" s="4">
        <f t="shared" si="1"/>
        <v>2.6457513110645907</v>
      </c>
      <c r="D79" s="4">
        <f t="shared" si="2"/>
        <v>3.7416573867739413</v>
      </c>
      <c r="E79" s="4">
        <f t="shared" si="3"/>
        <v>1.7320508075688772</v>
      </c>
      <c r="F79" s="4">
        <f t="shared" si="4"/>
        <v>3.872983346207417</v>
      </c>
      <c r="G79" s="4">
        <f t="shared" si="5"/>
        <v>1.7320508075688772</v>
      </c>
      <c r="H79" s="4" t="str">
        <f t="shared" si="0"/>
        <v>C3</v>
      </c>
      <c r="I79" s="108"/>
      <c r="J79" s="108"/>
      <c r="M79" s="72"/>
      <c r="N79" s="4" t="str">
        <v>salman</v>
      </c>
      <c r="O79" s="72"/>
    </row>
    <row r="80" spans="1:16" x14ac:dyDescent="0.35">
      <c r="A80" s="4">
        <v>13</v>
      </c>
      <c r="B80" s="4" t="s">
        <v>295</v>
      </c>
      <c r="C80" s="4">
        <f t="shared" si="1"/>
        <v>2.6457513110645907</v>
      </c>
      <c r="D80" s="4">
        <f t="shared" si="2"/>
        <v>1.4142135623730951</v>
      </c>
      <c r="E80" s="4">
        <f t="shared" si="3"/>
        <v>2.6457513110645907</v>
      </c>
      <c r="F80" s="4">
        <f t="shared" si="4"/>
        <v>3.3166247903553998</v>
      </c>
      <c r="G80" s="4">
        <f t="shared" si="5"/>
        <v>1.4142135623730951</v>
      </c>
      <c r="H80" s="4" t="str">
        <f t="shared" si="0"/>
        <v>C2</v>
      </c>
      <c r="I80" s="108"/>
      <c r="J80" s="108"/>
      <c r="M80" s="71" t="s">
        <v>335</v>
      </c>
      <c r="N80" s="41" t="str" cm="1">
        <f t="array" ref="N80:N90">_xlfn._xlws.FILTER(B68:B121,H68:H121="C2")</f>
        <v>april</v>
      </c>
      <c r="O80" s="72">
        <v>11</v>
      </c>
    </row>
    <row r="81" spans="1:15" x14ac:dyDescent="0.35">
      <c r="A81" s="4">
        <v>14</v>
      </c>
      <c r="B81" s="4" t="s">
        <v>296</v>
      </c>
      <c r="C81" s="4">
        <f t="shared" si="1"/>
        <v>3.1622776601683795</v>
      </c>
      <c r="D81" s="4">
        <f t="shared" si="2"/>
        <v>3</v>
      </c>
      <c r="E81" s="4">
        <f t="shared" si="3"/>
        <v>0</v>
      </c>
      <c r="F81" s="4">
        <f t="shared" si="4"/>
        <v>3.1622776601683795</v>
      </c>
      <c r="G81" s="4">
        <f t="shared" si="5"/>
        <v>0</v>
      </c>
      <c r="H81" s="4" t="str">
        <f t="shared" si="0"/>
        <v>C3</v>
      </c>
      <c r="I81" s="108"/>
      <c r="J81" s="108"/>
      <c r="M81" s="72"/>
      <c r="N81" s="41" t="str">
        <v>dewi</v>
      </c>
      <c r="O81" s="72"/>
    </row>
    <row r="82" spans="1:15" x14ac:dyDescent="0.35">
      <c r="A82" s="4">
        <v>15</v>
      </c>
      <c r="B82" s="4" t="s">
        <v>297</v>
      </c>
      <c r="C82" s="4">
        <f t="shared" si="1"/>
        <v>3.3166247903553998</v>
      </c>
      <c r="D82" s="4">
        <f t="shared" si="2"/>
        <v>4</v>
      </c>
      <c r="E82" s="4">
        <f t="shared" si="3"/>
        <v>2.6457513110645907</v>
      </c>
      <c r="F82" s="4">
        <f t="shared" si="4"/>
        <v>1.7320508075688772</v>
      </c>
      <c r="G82" s="4">
        <f t="shared" si="5"/>
        <v>1.7320508075688772</v>
      </c>
      <c r="H82" s="4" t="str">
        <f t="shared" si="0"/>
        <v>C4</v>
      </c>
      <c r="I82" s="108"/>
      <c r="J82" s="108"/>
      <c r="M82" s="72"/>
      <c r="N82" s="41" t="str">
        <v>nabila</v>
      </c>
      <c r="O82" s="72"/>
    </row>
    <row r="83" spans="1:15" x14ac:dyDescent="0.35">
      <c r="A83" s="4">
        <v>16</v>
      </c>
      <c r="B83" s="4" t="s">
        <v>143</v>
      </c>
      <c r="C83" s="4">
        <f t="shared" si="1"/>
        <v>1.7320508075688772</v>
      </c>
      <c r="D83" s="4">
        <f t="shared" si="2"/>
        <v>3.7416573867739413</v>
      </c>
      <c r="E83" s="4">
        <f t="shared" si="3"/>
        <v>2.6457513110645907</v>
      </c>
      <c r="F83" s="4">
        <f t="shared" si="4"/>
        <v>3.3166247903553998</v>
      </c>
      <c r="G83" s="4">
        <f t="shared" si="5"/>
        <v>1.7320508075688772</v>
      </c>
      <c r="H83" s="4" t="str">
        <f t="shared" si="0"/>
        <v>C1</v>
      </c>
      <c r="I83" s="108"/>
      <c r="J83" s="108"/>
      <c r="M83" s="72"/>
      <c r="N83" s="41" t="str">
        <v>dafinna</v>
      </c>
      <c r="O83" s="72"/>
    </row>
    <row r="84" spans="1:15" x14ac:dyDescent="0.35">
      <c r="A84" s="4">
        <v>17</v>
      </c>
      <c r="B84" s="4" t="s">
        <v>298</v>
      </c>
      <c r="C84" s="4">
        <f t="shared" si="1"/>
        <v>2.8284271247461903</v>
      </c>
      <c r="D84" s="4">
        <f t="shared" si="2"/>
        <v>1.7320508075688772</v>
      </c>
      <c r="E84" s="4">
        <f t="shared" si="3"/>
        <v>2.4494897427831779</v>
      </c>
      <c r="F84" s="4">
        <f t="shared" si="4"/>
        <v>2.8284271247461903</v>
      </c>
      <c r="G84" s="4">
        <f t="shared" si="5"/>
        <v>1.7320508075688772</v>
      </c>
      <c r="H84" s="4" t="str">
        <f t="shared" si="0"/>
        <v>C2</v>
      </c>
      <c r="I84" s="108"/>
      <c r="J84" s="108"/>
      <c r="M84" s="72"/>
      <c r="N84" s="41" t="str">
        <v>abdul</v>
      </c>
      <c r="O84" s="72"/>
    </row>
    <row r="85" spans="1:15" x14ac:dyDescent="0.35">
      <c r="A85" s="4">
        <v>18</v>
      </c>
      <c r="B85" s="4" t="s">
        <v>299</v>
      </c>
      <c r="C85" s="4">
        <f t="shared" si="1"/>
        <v>3.1622776601683795</v>
      </c>
      <c r="D85" s="4">
        <f t="shared" si="2"/>
        <v>3.6055512754639891</v>
      </c>
      <c r="E85" s="4">
        <f t="shared" si="3"/>
        <v>2.4494897427831779</v>
      </c>
      <c r="F85" s="4">
        <f t="shared" si="4"/>
        <v>1.4142135623730951</v>
      </c>
      <c r="G85" s="4">
        <f t="shared" si="5"/>
        <v>1.4142135623730951</v>
      </c>
      <c r="H85" s="4" t="str">
        <f t="shared" si="0"/>
        <v>C4</v>
      </c>
      <c r="I85" s="108"/>
      <c r="J85" s="108"/>
      <c r="M85" s="72"/>
      <c r="N85" s="41" t="str">
        <v>lany</v>
      </c>
      <c r="O85" s="72"/>
    </row>
    <row r="86" spans="1:15" x14ac:dyDescent="0.35">
      <c r="A86" s="4">
        <v>19</v>
      </c>
      <c r="B86" s="4" t="s">
        <v>300</v>
      </c>
      <c r="C86" s="4">
        <f t="shared" si="1"/>
        <v>3.1622776601683795</v>
      </c>
      <c r="D86" s="4">
        <f t="shared" si="2"/>
        <v>3</v>
      </c>
      <c r="E86" s="4">
        <f t="shared" si="3"/>
        <v>0</v>
      </c>
      <c r="F86" s="4">
        <f t="shared" si="4"/>
        <v>3.1622776601683795</v>
      </c>
      <c r="G86" s="4">
        <f t="shared" si="5"/>
        <v>0</v>
      </c>
      <c r="H86" s="4" t="str">
        <f t="shared" si="0"/>
        <v>C3</v>
      </c>
      <c r="I86" s="108"/>
      <c r="J86" s="108"/>
      <c r="M86" s="72"/>
      <c r="N86" s="41" t="str">
        <v>yuli</v>
      </c>
      <c r="O86" s="72"/>
    </row>
    <row r="87" spans="1:15" x14ac:dyDescent="0.35">
      <c r="A87" s="4">
        <v>20</v>
      </c>
      <c r="B87" s="4" t="s">
        <v>301</v>
      </c>
      <c r="C87" s="4">
        <f t="shared" si="1"/>
        <v>2.6457513110645907</v>
      </c>
      <c r="D87" s="4">
        <f t="shared" si="2"/>
        <v>3.7416573867739413</v>
      </c>
      <c r="E87" s="4">
        <f t="shared" si="3"/>
        <v>1.7320508075688772</v>
      </c>
      <c r="F87" s="4">
        <f t="shared" si="4"/>
        <v>3.872983346207417</v>
      </c>
      <c r="G87" s="4">
        <f t="shared" si="5"/>
        <v>1.7320508075688772</v>
      </c>
      <c r="H87" s="4" t="str">
        <f t="shared" si="0"/>
        <v>C3</v>
      </c>
      <c r="I87" s="108"/>
      <c r="J87" s="108"/>
      <c r="M87" s="72"/>
      <c r="N87" s="41" t="str">
        <v>heny</v>
      </c>
      <c r="O87" s="72"/>
    </row>
    <row r="88" spans="1:15" x14ac:dyDescent="0.35">
      <c r="A88" s="4">
        <v>21</v>
      </c>
      <c r="B88" s="4" t="s">
        <v>302</v>
      </c>
      <c r="C88" s="4">
        <f t="shared" si="1"/>
        <v>2.6457513110645907</v>
      </c>
      <c r="D88" s="4">
        <f t="shared" si="2"/>
        <v>1.4142135623730951</v>
      </c>
      <c r="E88" s="4">
        <f t="shared" si="3"/>
        <v>2.6457513110645907</v>
      </c>
      <c r="F88" s="4">
        <f t="shared" si="4"/>
        <v>3.3166247903553998</v>
      </c>
      <c r="G88" s="4">
        <f t="shared" si="5"/>
        <v>1.4142135623730951</v>
      </c>
      <c r="H88" s="4" t="str">
        <f t="shared" si="0"/>
        <v>C2</v>
      </c>
      <c r="I88" s="108"/>
      <c r="J88" s="108"/>
      <c r="M88" s="72"/>
      <c r="N88" s="41" t="str">
        <v>rere</v>
      </c>
      <c r="O88" s="72"/>
    </row>
    <row r="89" spans="1:15" x14ac:dyDescent="0.35">
      <c r="A89" s="4">
        <v>22</v>
      </c>
      <c r="B89" s="4" t="s">
        <v>303</v>
      </c>
      <c r="C89" s="4">
        <f t="shared" si="1"/>
        <v>3.1622776601683795</v>
      </c>
      <c r="D89" s="4">
        <f t="shared" si="2"/>
        <v>3</v>
      </c>
      <c r="E89" s="4">
        <f t="shared" si="3"/>
        <v>0</v>
      </c>
      <c r="F89" s="4">
        <f t="shared" si="4"/>
        <v>3.1622776601683795</v>
      </c>
      <c r="G89" s="4">
        <f t="shared" si="5"/>
        <v>0</v>
      </c>
      <c r="H89" s="4" t="str">
        <f t="shared" si="0"/>
        <v>C3</v>
      </c>
      <c r="I89" s="108"/>
      <c r="J89" s="108"/>
      <c r="M89" s="72"/>
      <c r="N89" s="41" t="str">
        <v>afifah</v>
      </c>
      <c r="O89" s="72"/>
    </row>
    <row r="90" spans="1:15" x14ac:dyDescent="0.35">
      <c r="A90" s="4">
        <v>23</v>
      </c>
      <c r="B90" s="4" t="s">
        <v>304</v>
      </c>
      <c r="C90" s="4">
        <f t="shared" si="1"/>
        <v>3.1622776601683795</v>
      </c>
      <c r="D90" s="4">
        <f t="shared" si="2"/>
        <v>3.6055512754639891</v>
      </c>
      <c r="E90" s="4">
        <f t="shared" si="3"/>
        <v>2.4494897427831779</v>
      </c>
      <c r="F90" s="4">
        <f t="shared" si="4"/>
        <v>1.4142135623730951</v>
      </c>
      <c r="G90" s="4">
        <f t="shared" si="5"/>
        <v>1.4142135623730951</v>
      </c>
      <c r="H90" s="4" t="str">
        <f t="shared" si="0"/>
        <v>C4</v>
      </c>
      <c r="I90" s="108"/>
      <c r="J90" s="108"/>
      <c r="M90" s="72"/>
      <c r="N90" s="41" t="str">
        <v>naffa</v>
      </c>
      <c r="O90" s="72"/>
    </row>
    <row r="91" spans="1:15" x14ac:dyDescent="0.35">
      <c r="A91" s="4">
        <v>24</v>
      </c>
      <c r="B91" s="4" t="s">
        <v>305</v>
      </c>
      <c r="C91" s="4">
        <f t="shared" si="1"/>
        <v>3.1622776601683795</v>
      </c>
      <c r="D91" s="4">
        <f t="shared" si="2"/>
        <v>3.6055512754639891</v>
      </c>
      <c r="E91" s="4">
        <f t="shared" si="3"/>
        <v>2.4494897427831779</v>
      </c>
      <c r="F91" s="4">
        <f t="shared" si="4"/>
        <v>1.4142135623730951</v>
      </c>
      <c r="G91" s="4">
        <f t="shared" si="5"/>
        <v>1.4142135623730951</v>
      </c>
      <c r="H91" s="4" t="str">
        <f t="shared" si="0"/>
        <v>C4</v>
      </c>
      <c r="I91" s="108"/>
      <c r="J91" s="108"/>
      <c r="M91" s="71" t="s">
        <v>336</v>
      </c>
      <c r="N91" s="4" t="str" cm="1">
        <f t="array" ref="N91:N105">_xlfn._xlws.FILTER(B68:B121,H68:H121="C3")</f>
        <v>lisa</v>
      </c>
      <c r="O91" s="72">
        <v>15</v>
      </c>
    </row>
    <row r="92" spans="1:15" x14ac:dyDescent="0.35">
      <c r="A92" s="4">
        <v>25</v>
      </c>
      <c r="B92" s="4" t="s">
        <v>306</v>
      </c>
      <c r="C92" s="4">
        <f t="shared" si="1"/>
        <v>1.4142135623730951</v>
      </c>
      <c r="D92" s="4">
        <f t="shared" si="2"/>
        <v>3.3166247903553998</v>
      </c>
      <c r="E92" s="4">
        <f t="shared" si="3"/>
        <v>2.4494897427831779</v>
      </c>
      <c r="F92" s="4">
        <f t="shared" si="4"/>
        <v>3.1622776601683795</v>
      </c>
      <c r="G92" s="4">
        <f t="shared" si="5"/>
        <v>1.4142135623730951</v>
      </c>
      <c r="H92" s="4" t="str">
        <f t="shared" si="0"/>
        <v>C1</v>
      </c>
      <c r="I92" s="108"/>
      <c r="J92" s="108"/>
      <c r="M92" s="72"/>
      <c r="N92" s="4" t="str">
        <v>putra</v>
      </c>
      <c r="O92" s="72"/>
    </row>
    <row r="93" spans="1:15" x14ac:dyDescent="0.35">
      <c r="A93" s="4">
        <v>26</v>
      </c>
      <c r="B93" s="4" t="s">
        <v>166</v>
      </c>
      <c r="C93" s="4">
        <f t="shared" si="1"/>
        <v>2.8284271247461903</v>
      </c>
      <c r="D93" s="4">
        <f t="shared" si="2"/>
        <v>1.7320508075688772</v>
      </c>
      <c r="E93" s="4">
        <f t="shared" si="3"/>
        <v>2.4494897427831779</v>
      </c>
      <c r="F93" s="4">
        <f t="shared" si="4"/>
        <v>2.8284271247461903</v>
      </c>
      <c r="G93" s="4">
        <f t="shared" si="5"/>
        <v>1.7320508075688772</v>
      </c>
      <c r="H93" s="4" t="str">
        <f t="shared" ref="H93:H121" si="6">"C"&amp;MATCH(G93,C93:F93,0)</f>
        <v>C2</v>
      </c>
      <c r="I93" s="108"/>
      <c r="J93" s="108"/>
      <c r="M93" s="72"/>
      <c r="N93" s="4" t="str">
        <v>rangga</v>
      </c>
      <c r="O93" s="72"/>
    </row>
    <row r="94" spans="1:15" x14ac:dyDescent="0.35">
      <c r="A94" s="4">
        <v>27</v>
      </c>
      <c r="B94" s="4" t="s">
        <v>160</v>
      </c>
      <c r="C94" s="4">
        <f t="shared" si="1"/>
        <v>1.4142135623730951</v>
      </c>
      <c r="D94" s="4">
        <f t="shared" si="2"/>
        <v>3.3166247903553998</v>
      </c>
      <c r="E94" s="4">
        <f t="shared" si="3"/>
        <v>2.4494897427831779</v>
      </c>
      <c r="F94" s="4">
        <f t="shared" si="4"/>
        <v>3.1622776601683795</v>
      </c>
      <c r="G94" s="4">
        <f t="shared" si="5"/>
        <v>1.4142135623730951</v>
      </c>
      <c r="H94" s="4" t="str">
        <f t="shared" si="6"/>
        <v>C1</v>
      </c>
      <c r="I94" s="108"/>
      <c r="J94" s="108"/>
      <c r="M94" s="72"/>
      <c r="N94" s="4" t="str">
        <v>fadhil</v>
      </c>
      <c r="O94" s="72"/>
    </row>
    <row r="95" spans="1:15" x14ac:dyDescent="0.35">
      <c r="A95" s="4">
        <v>28</v>
      </c>
      <c r="B95" s="4" t="s">
        <v>151</v>
      </c>
      <c r="C95" s="4">
        <f t="shared" si="1"/>
        <v>3.4641016151377544</v>
      </c>
      <c r="D95" s="4">
        <f t="shared" si="2"/>
        <v>4.1231056256176606</v>
      </c>
      <c r="E95" s="4">
        <f t="shared" si="3"/>
        <v>3.1622776601683795</v>
      </c>
      <c r="F95" s="4">
        <f t="shared" si="4"/>
        <v>2</v>
      </c>
      <c r="G95" s="4">
        <f t="shared" si="5"/>
        <v>2</v>
      </c>
      <c r="H95" s="4" t="str">
        <f t="shared" si="6"/>
        <v>C4</v>
      </c>
      <c r="I95" s="108"/>
      <c r="J95" s="108"/>
      <c r="M95" s="72"/>
      <c r="N95" s="4" t="str">
        <v>cindy</v>
      </c>
      <c r="O95" s="72"/>
    </row>
    <row r="96" spans="1:15" x14ac:dyDescent="0.35">
      <c r="A96" s="4">
        <v>29</v>
      </c>
      <c r="B96" s="4" t="s">
        <v>307</v>
      </c>
      <c r="C96" s="4">
        <f t="shared" si="1"/>
        <v>3.1622776601683795</v>
      </c>
      <c r="D96" s="4">
        <f t="shared" si="2"/>
        <v>3</v>
      </c>
      <c r="E96" s="4">
        <f t="shared" si="3"/>
        <v>0</v>
      </c>
      <c r="F96" s="4">
        <f t="shared" si="4"/>
        <v>3.1622776601683795</v>
      </c>
      <c r="G96" s="4">
        <f t="shared" si="5"/>
        <v>0</v>
      </c>
      <c r="H96" s="4" t="str">
        <f t="shared" si="6"/>
        <v>C3</v>
      </c>
      <c r="I96" s="108"/>
      <c r="J96" s="108"/>
      <c r="M96" s="72"/>
      <c r="N96" s="4" t="str">
        <v>reyner</v>
      </c>
      <c r="O96" s="72"/>
    </row>
    <row r="97" spans="1:15" x14ac:dyDescent="0.35">
      <c r="A97" s="4">
        <v>30</v>
      </c>
      <c r="B97" s="4" t="s">
        <v>308</v>
      </c>
      <c r="C97" s="4">
        <f t="shared" si="1"/>
        <v>2.8284271247461903</v>
      </c>
      <c r="D97" s="4">
        <f t="shared" si="2"/>
        <v>1.7320508075688772</v>
      </c>
      <c r="E97" s="4">
        <f t="shared" si="3"/>
        <v>2.4494897427831779</v>
      </c>
      <c r="F97" s="4">
        <f t="shared" si="4"/>
        <v>2.8284271247461903</v>
      </c>
      <c r="G97" s="4">
        <f t="shared" si="5"/>
        <v>1.7320508075688772</v>
      </c>
      <c r="H97" s="4" t="str">
        <f t="shared" si="6"/>
        <v>C2</v>
      </c>
      <c r="I97" s="108"/>
      <c r="J97" s="108"/>
      <c r="M97" s="72"/>
      <c r="N97" s="4" t="str">
        <v>aditya</v>
      </c>
      <c r="O97" s="72"/>
    </row>
    <row r="98" spans="1:15" x14ac:dyDescent="0.35">
      <c r="A98" s="4">
        <v>31</v>
      </c>
      <c r="B98" s="4" t="s">
        <v>309</v>
      </c>
      <c r="C98" s="4">
        <f t="shared" si="1"/>
        <v>1.4142135623730951</v>
      </c>
      <c r="D98" s="4">
        <f t="shared" si="2"/>
        <v>3.872983346207417</v>
      </c>
      <c r="E98" s="4">
        <f t="shared" si="3"/>
        <v>3.1622776601683795</v>
      </c>
      <c r="F98" s="4">
        <f t="shared" si="4"/>
        <v>3.1622776601683795</v>
      </c>
      <c r="G98" s="4">
        <f t="shared" si="5"/>
        <v>1.4142135623730951</v>
      </c>
      <c r="H98" s="4" t="str">
        <f t="shared" si="6"/>
        <v>C1</v>
      </c>
      <c r="I98" s="108"/>
      <c r="J98" s="108"/>
      <c r="M98" s="72"/>
      <c r="N98" s="4" t="str">
        <v>yusuf</v>
      </c>
      <c r="O98" s="72"/>
    </row>
    <row r="99" spans="1:15" x14ac:dyDescent="0.35">
      <c r="A99" s="4">
        <v>32</v>
      </c>
      <c r="B99" s="4" t="s">
        <v>310</v>
      </c>
      <c r="C99" s="4">
        <f t="shared" si="1"/>
        <v>3.6055512754639891</v>
      </c>
      <c r="D99" s="4">
        <f t="shared" si="2"/>
        <v>3.7416573867739413</v>
      </c>
      <c r="E99" s="4">
        <f t="shared" si="3"/>
        <v>2.6457513110645907</v>
      </c>
      <c r="F99" s="4">
        <f t="shared" si="4"/>
        <v>1.7320508075688772</v>
      </c>
      <c r="G99" s="4">
        <f t="shared" si="5"/>
        <v>1.7320508075688772</v>
      </c>
      <c r="H99" s="4" t="str">
        <f t="shared" si="6"/>
        <v>C4</v>
      </c>
      <c r="I99" s="108"/>
      <c r="J99" s="108"/>
      <c r="M99" s="72"/>
      <c r="N99" s="4" t="str">
        <v>nanda</v>
      </c>
      <c r="O99" s="72"/>
    </row>
    <row r="100" spans="1:15" x14ac:dyDescent="0.35">
      <c r="A100" s="4">
        <v>33</v>
      </c>
      <c r="B100" s="4" t="s">
        <v>311</v>
      </c>
      <c r="C100" s="4">
        <f t="shared" si="1"/>
        <v>4</v>
      </c>
      <c r="D100" s="4">
        <f t="shared" si="2"/>
        <v>3.3166247903553998</v>
      </c>
      <c r="E100" s="4">
        <f t="shared" si="3"/>
        <v>3.1622776601683795</v>
      </c>
      <c r="F100" s="4">
        <f t="shared" si="4"/>
        <v>2</v>
      </c>
      <c r="G100" s="4">
        <f t="shared" si="5"/>
        <v>2</v>
      </c>
      <c r="H100" s="4" t="str">
        <f t="shared" si="6"/>
        <v>C4</v>
      </c>
      <c r="I100" s="108"/>
      <c r="J100" s="108"/>
      <c r="M100" s="72"/>
      <c r="N100" s="4" t="str">
        <v>helmy</v>
      </c>
      <c r="O100" s="72"/>
    </row>
    <row r="101" spans="1:15" x14ac:dyDescent="0.35">
      <c r="A101" s="4">
        <v>34</v>
      </c>
      <c r="B101" s="4" t="s">
        <v>312</v>
      </c>
      <c r="C101" s="4">
        <f t="shared" si="1"/>
        <v>2.2360679774997898</v>
      </c>
      <c r="D101" s="4">
        <f t="shared" si="2"/>
        <v>2.8284271247461903</v>
      </c>
      <c r="E101" s="4">
        <f t="shared" si="3"/>
        <v>3</v>
      </c>
      <c r="F101" s="4">
        <f t="shared" si="4"/>
        <v>3.6055512754639891</v>
      </c>
      <c r="G101" s="4">
        <f t="shared" si="5"/>
        <v>2.2360679774997898</v>
      </c>
      <c r="H101" s="4" t="str">
        <f t="shared" si="6"/>
        <v>C1</v>
      </c>
      <c r="I101" s="108"/>
      <c r="J101" s="108"/>
      <c r="M101" s="72"/>
      <c r="N101" s="4" t="str">
        <v>arto</v>
      </c>
      <c r="O101" s="72"/>
    </row>
    <row r="102" spans="1:15" x14ac:dyDescent="0.35">
      <c r="A102" s="4">
        <v>35</v>
      </c>
      <c r="B102" s="4" t="s">
        <v>313</v>
      </c>
      <c r="C102" s="4">
        <f t="shared" si="1"/>
        <v>3.1622776601683795</v>
      </c>
      <c r="D102" s="4">
        <f t="shared" si="2"/>
        <v>3.6055512754639891</v>
      </c>
      <c r="E102" s="4">
        <f t="shared" si="3"/>
        <v>2.4494897427831779</v>
      </c>
      <c r="F102" s="4">
        <f t="shared" si="4"/>
        <v>1.4142135623730951</v>
      </c>
      <c r="G102" s="4">
        <f t="shared" si="5"/>
        <v>1.4142135623730951</v>
      </c>
      <c r="H102" s="4" t="str">
        <f t="shared" si="6"/>
        <v>C4</v>
      </c>
      <c r="I102" s="108"/>
      <c r="J102" s="108"/>
      <c r="M102" s="72"/>
      <c r="N102" s="4" t="str">
        <v>musa</v>
      </c>
      <c r="O102" s="72"/>
    </row>
    <row r="103" spans="1:15" x14ac:dyDescent="0.35">
      <c r="A103" s="4">
        <v>36</v>
      </c>
      <c r="B103" s="4" t="s">
        <v>314</v>
      </c>
      <c r="C103" s="4">
        <f t="shared" si="1"/>
        <v>3.6055512754639891</v>
      </c>
      <c r="D103" s="4">
        <f t="shared" si="2"/>
        <v>2.4494897427831779</v>
      </c>
      <c r="E103" s="4">
        <f t="shared" si="3"/>
        <v>1.7320508075688772</v>
      </c>
      <c r="F103" s="4">
        <f t="shared" si="4"/>
        <v>3.6055512754639891</v>
      </c>
      <c r="G103" s="4">
        <f t="shared" si="5"/>
        <v>1.7320508075688772</v>
      </c>
      <c r="H103" s="4" t="str">
        <f t="shared" si="6"/>
        <v>C3</v>
      </c>
      <c r="I103" s="108"/>
      <c r="J103" s="108"/>
      <c r="M103" s="72"/>
      <c r="N103" s="4" t="str">
        <v>galang</v>
      </c>
      <c r="O103" s="72"/>
    </row>
    <row r="104" spans="1:15" x14ac:dyDescent="0.35">
      <c r="A104" s="4">
        <v>37</v>
      </c>
      <c r="B104" s="4" t="s">
        <v>315</v>
      </c>
      <c r="C104" s="4">
        <f t="shared" si="1"/>
        <v>2.6457513110645907</v>
      </c>
      <c r="D104" s="4">
        <f t="shared" si="2"/>
        <v>4.2426406871192848</v>
      </c>
      <c r="E104" s="4">
        <f t="shared" si="3"/>
        <v>3</v>
      </c>
      <c r="F104" s="4">
        <f t="shared" si="4"/>
        <v>2.6457513110645907</v>
      </c>
      <c r="G104" s="4">
        <f t="shared" si="5"/>
        <v>2.6457513110645907</v>
      </c>
      <c r="H104" s="4" t="str">
        <f t="shared" si="6"/>
        <v>C1</v>
      </c>
      <c r="I104" s="108"/>
      <c r="J104" s="108"/>
      <c r="M104" s="72"/>
      <c r="N104" s="4" t="str">
        <v>dasyefa</v>
      </c>
      <c r="O104" s="72"/>
    </row>
    <row r="105" spans="1:15" x14ac:dyDescent="0.35">
      <c r="A105" s="4">
        <v>38</v>
      </c>
      <c r="B105" s="4" t="s">
        <v>316</v>
      </c>
      <c r="C105" s="4">
        <f t="shared" si="1"/>
        <v>2.6457513110645907</v>
      </c>
      <c r="D105" s="4">
        <f t="shared" si="2"/>
        <v>1.4142135623730951</v>
      </c>
      <c r="E105" s="4">
        <f t="shared" si="3"/>
        <v>2.6457513110645907</v>
      </c>
      <c r="F105" s="4">
        <f t="shared" si="4"/>
        <v>3.3166247903553998</v>
      </c>
      <c r="G105" s="4">
        <f t="shared" si="5"/>
        <v>1.4142135623730951</v>
      </c>
      <c r="H105" s="4" t="str">
        <f t="shared" si="6"/>
        <v>C2</v>
      </c>
      <c r="I105" s="108"/>
      <c r="J105" s="108"/>
      <c r="M105" s="72"/>
      <c r="N105" s="4" t="str">
        <v>bimo</v>
      </c>
      <c r="O105" s="72"/>
    </row>
    <row r="106" spans="1:15" x14ac:dyDescent="0.35">
      <c r="A106" s="4">
        <v>39</v>
      </c>
      <c r="B106" s="4" t="s">
        <v>178</v>
      </c>
      <c r="C106" s="4">
        <f t="shared" si="1"/>
        <v>1.4142135623730951</v>
      </c>
      <c r="D106" s="4">
        <f t="shared" si="2"/>
        <v>3.3166247903553998</v>
      </c>
      <c r="E106" s="4">
        <f t="shared" si="3"/>
        <v>2.4494897427831779</v>
      </c>
      <c r="F106" s="4">
        <f t="shared" si="4"/>
        <v>3.1622776601683795</v>
      </c>
      <c r="G106" s="4">
        <f t="shared" si="5"/>
        <v>1.4142135623730951</v>
      </c>
      <c r="H106" s="4" t="str">
        <f t="shared" si="6"/>
        <v>C1</v>
      </c>
      <c r="I106" s="108"/>
      <c r="J106" s="108"/>
      <c r="M106" s="71" t="s">
        <v>337</v>
      </c>
      <c r="N106" s="4" t="str" cm="1">
        <f t="array" ref="N106:N121">_xlfn._xlws.FILTER(B68:B121,H68:H121="C4")</f>
        <v>yanuar</v>
      </c>
      <c r="O106" s="72">
        <v>16</v>
      </c>
    </row>
    <row r="107" spans="1:15" x14ac:dyDescent="0.35">
      <c r="A107" s="4">
        <v>40</v>
      </c>
      <c r="B107" s="4" t="s">
        <v>317</v>
      </c>
      <c r="C107" s="4">
        <f t="shared" si="1"/>
        <v>3.1622776601683795</v>
      </c>
      <c r="D107" s="4">
        <f t="shared" si="2"/>
        <v>3.6055512754639891</v>
      </c>
      <c r="E107" s="4">
        <f t="shared" si="3"/>
        <v>2.4494897427831779</v>
      </c>
      <c r="F107" s="4">
        <f t="shared" si="4"/>
        <v>1.4142135623730951</v>
      </c>
      <c r="G107" s="4">
        <f t="shared" si="5"/>
        <v>1.4142135623730951</v>
      </c>
      <c r="H107" s="4" t="str">
        <f t="shared" si="6"/>
        <v>C4</v>
      </c>
      <c r="I107" s="108"/>
      <c r="J107" s="108"/>
      <c r="M107" s="72"/>
      <c r="N107" s="4" t="str">
        <v>sahara</v>
      </c>
      <c r="O107" s="72"/>
    </row>
    <row r="108" spans="1:15" x14ac:dyDescent="0.35">
      <c r="A108" s="4">
        <v>41</v>
      </c>
      <c r="B108" s="4" t="s">
        <v>318</v>
      </c>
      <c r="C108" s="4">
        <f t="shared" si="1"/>
        <v>2.6457513110645907</v>
      </c>
      <c r="D108" s="4">
        <f t="shared" si="2"/>
        <v>3.7416573867739413</v>
      </c>
      <c r="E108" s="4">
        <f t="shared" si="3"/>
        <v>1.7320508075688772</v>
      </c>
      <c r="F108" s="4">
        <f t="shared" si="4"/>
        <v>3.872983346207417</v>
      </c>
      <c r="G108" s="4">
        <f t="shared" si="5"/>
        <v>1.7320508075688772</v>
      </c>
      <c r="H108" s="4" t="str">
        <f t="shared" si="6"/>
        <v>C3</v>
      </c>
      <c r="I108" s="108"/>
      <c r="J108" s="108"/>
      <c r="M108" s="72"/>
      <c r="N108" s="4" t="str">
        <v>fira</v>
      </c>
      <c r="O108" s="72"/>
    </row>
    <row r="109" spans="1:15" x14ac:dyDescent="0.35">
      <c r="A109" s="4">
        <v>42</v>
      </c>
      <c r="B109" s="4" t="s">
        <v>319</v>
      </c>
      <c r="C109" s="4">
        <f t="shared" si="1"/>
        <v>4.2426406871192848</v>
      </c>
      <c r="D109" s="4">
        <f t="shared" si="2"/>
        <v>3.3166247903553998</v>
      </c>
      <c r="E109" s="4">
        <f t="shared" si="3"/>
        <v>3.1622776601683795</v>
      </c>
      <c r="F109" s="4">
        <f t="shared" si="4"/>
        <v>2.4494897427831779</v>
      </c>
      <c r="G109" s="4">
        <f t="shared" si="5"/>
        <v>2.4494897427831779</v>
      </c>
      <c r="H109" s="4" t="str">
        <f t="shared" si="6"/>
        <v>C4</v>
      </c>
      <c r="I109" s="108"/>
      <c r="J109" s="108"/>
      <c r="M109" s="72"/>
      <c r="N109" s="4" t="str">
        <v>rani</v>
      </c>
      <c r="O109" s="72"/>
    </row>
    <row r="110" spans="1:15" x14ac:dyDescent="0.35">
      <c r="A110" s="4">
        <v>43</v>
      </c>
      <c r="B110" s="4" t="s">
        <v>320</v>
      </c>
      <c r="C110" s="4">
        <f t="shared" si="1"/>
        <v>1.7320508075688772</v>
      </c>
      <c r="D110" s="4">
        <f t="shared" si="2"/>
        <v>3.4641016151377544</v>
      </c>
      <c r="E110" s="4">
        <f t="shared" si="3"/>
        <v>4.1231056256176606</v>
      </c>
      <c r="F110" s="4">
        <f t="shared" si="4"/>
        <v>4.1231056256176606</v>
      </c>
      <c r="G110" s="4">
        <f t="shared" si="5"/>
        <v>1.7320508075688772</v>
      </c>
      <c r="H110" s="4" t="str">
        <f t="shared" si="6"/>
        <v>C1</v>
      </c>
      <c r="I110" s="108"/>
      <c r="J110" s="108"/>
      <c r="M110" s="72"/>
      <c r="N110" s="4" t="str">
        <v>sawitri</v>
      </c>
      <c r="O110" s="72"/>
    </row>
    <row r="111" spans="1:15" x14ac:dyDescent="0.35">
      <c r="A111" s="4">
        <v>44</v>
      </c>
      <c r="B111" s="4" t="s">
        <v>321</v>
      </c>
      <c r="C111" s="4">
        <f t="shared" si="1"/>
        <v>3.1622776601683795</v>
      </c>
      <c r="D111" s="4">
        <f t="shared" si="2"/>
        <v>3.6055512754639891</v>
      </c>
      <c r="E111" s="4">
        <f t="shared" si="3"/>
        <v>2.4494897427831779</v>
      </c>
      <c r="F111" s="4">
        <f t="shared" si="4"/>
        <v>1.4142135623730951</v>
      </c>
      <c r="G111" s="4">
        <f t="shared" si="5"/>
        <v>1.4142135623730951</v>
      </c>
      <c r="H111" s="4" t="str">
        <f t="shared" si="6"/>
        <v>C4</v>
      </c>
      <c r="I111" s="108"/>
      <c r="J111" s="108"/>
      <c r="M111" s="72"/>
      <c r="N111" s="4" t="str">
        <v>vivi</v>
      </c>
      <c r="O111" s="72"/>
    </row>
    <row r="112" spans="1:15" x14ac:dyDescent="0.35">
      <c r="A112" s="4">
        <v>45</v>
      </c>
      <c r="B112" s="4" t="s">
        <v>322</v>
      </c>
      <c r="C112" s="4">
        <f t="shared" si="1"/>
        <v>3.1622776601683795</v>
      </c>
      <c r="D112" s="4">
        <f t="shared" si="2"/>
        <v>3</v>
      </c>
      <c r="E112" s="4">
        <f t="shared" si="3"/>
        <v>0</v>
      </c>
      <c r="F112" s="4">
        <f t="shared" si="4"/>
        <v>3.1622776601683795</v>
      </c>
      <c r="G112" s="4">
        <f t="shared" si="5"/>
        <v>0</v>
      </c>
      <c r="H112" s="4" t="str">
        <f t="shared" si="6"/>
        <v>C3</v>
      </c>
      <c r="I112" s="108"/>
      <c r="J112" s="108"/>
      <c r="M112" s="72"/>
      <c r="N112" s="4" t="str">
        <v>adisti</v>
      </c>
      <c r="O112" s="72"/>
    </row>
    <row r="113" spans="1:18" x14ac:dyDescent="0.35">
      <c r="A113" s="4">
        <v>46</v>
      </c>
      <c r="B113" s="4" t="s">
        <v>323</v>
      </c>
      <c r="C113" s="4">
        <f t="shared" si="1"/>
        <v>3.1622776601683795</v>
      </c>
      <c r="D113" s="4">
        <f t="shared" si="2"/>
        <v>3</v>
      </c>
      <c r="E113" s="4">
        <f t="shared" si="3"/>
        <v>0</v>
      </c>
      <c r="F113" s="4">
        <f t="shared" si="4"/>
        <v>3.1622776601683795</v>
      </c>
      <c r="G113" s="4">
        <f t="shared" si="5"/>
        <v>0</v>
      </c>
      <c r="H113" s="4" t="str">
        <f t="shared" si="6"/>
        <v>C3</v>
      </c>
      <c r="I113" s="108"/>
      <c r="J113" s="108"/>
      <c r="M113" s="72"/>
      <c r="N113" s="4" t="str">
        <v>dimas</v>
      </c>
      <c r="O113" s="72"/>
    </row>
    <row r="114" spans="1:18" x14ac:dyDescent="0.35">
      <c r="A114" s="4">
        <v>47</v>
      </c>
      <c r="B114" s="4" t="s">
        <v>149</v>
      </c>
      <c r="C114" s="4">
        <f t="shared" si="1"/>
        <v>2.8284271247461903</v>
      </c>
      <c r="D114" s="4">
        <f t="shared" si="2"/>
        <v>1.7320508075688772</v>
      </c>
      <c r="E114" s="4">
        <f t="shared" si="3"/>
        <v>2.4494897427831779</v>
      </c>
      <c r="F114" s="4">
        <f t="shared" si="4"/>
        <v>2.8284271247461903</v>
      </c>
      <c r="G114" s="4">
        <f t="shared" si="5"/>
        <v>1.7320508075688772</v>
      </c>
      <c r="H114" s="4" t="str">
        <f t="shared" si="6"/>
        <v>C2</v>
      </c>
      <c r="I114" s="108"/>
      <c r="J114" s="108"/>
      <c r="M114" s="72"/>
      <c r="N114" s="4" t="str">
        <v>aziz</v>
      </c>
      <c r="O114" s="72"/>
    </row>
    <row r="115" spans="1:18" x14ac:dyDescent="0.35">
      <c r="A115" s="4">
        <v>48</v>
      </c>
      <c r="B115" s="4" t="s">
        <v>324</v>
      </c>
      <c r="C115" s="4">
        <f t="shared" si="1"/>
        <v>3.1622776601683795</v>
      </c>
      <c r="D115" s="4">
        <f t="shared" si="2"/>
        <v>3.6055512754639891</v>
      </c>
      <c r="E115" s="4">
        <f t="shared" si="3"/>
        <v>2.4494897427831779</v>
      </c>
      <c r="F115" s="4">
        <f t="shared" si="4"/>
        <v>1.4142135623730951</v>
      </c>
      <c r="G115" s="4">
        <f t="shared" si="5"/>
        <v>1.4142135623730951</v>
      </c>
      <c r="H115" s="4" t="str">
        <f t="shared" si="6"/>
        <v>C4</v>
      </c>
      <c r="I115" s="108"/>
      <c r="J115" s="108"/>
      <c r="M115" s="72"/>
      <c r="N115" s="4" t="str">
        <v>vanda</v>
      </c>
      <c r="O115" s="72"/>
    </row>
    <row r="116" spans="1:18" x14ac:dyDescent="0.35">
      <c r="A116" s="4">
        <v>49</v>
      </c>
      <c r="B116" s="4" t="s">
        <v>325</v>
      </c>
      <c r="C116" s="4">
        <f t="shared" si="1"/>
        <v>3.3166247903553998</v>
      </c>
      <c r="D116" s="4">
        <f t="shared" si="2"/>
        <v>3.4641016151377544</v>
      </c>
      <c r="E116" s="4">
        <f t="shared" si="3"/>
        <v>1</v>
      </c>
      <c r="F116" s="4">
        <f t="shared" si="4"/>
        <v>3.3166247903553998</v>
      </c>
      <c r="G116" s="4">
        <f t="shared" si="5"/>
        <v>1</v>
      </c>
      <c r="H116" s="4" t="str">
        <f t="shared" si="6"/>
        <v>C3</v>
      </c>
      <c r="I116" s="108"/>
      <c r="J116" s="108"/>
      <c r="M116" s="72"/>
      <c r="N116" s="4" t="str">
        <v>alfi</v>
      </c>
      <c r="O116" s="72"/>
    </row>
    <row r="117" spans="1:18" x14ac:dyDescent="0.35">
      <c r="A117" s="4">
        <v>50</v>
      </c>
      <c r="B117" s="4" t="s">
        <v>326</v>
      </c>
      <c r="C117" s="4">
        <f t="shared" si="1"/>
        <v>3.6055512754639891</v>
      </c>
      <c r="D117" s="4">
        <f t="shared" si="2"/>
        <v>2.8284271247461903</v>
      </c>
      <c r="E117" s="4">
        <f t="shared" si="3"/>
        <v>1</v>
      </c>
      <c r="F117" s="4">
        <f t="shared" si="4"/>
        <v>3.3166247903553998</v>
      </c>
      <c r="G117" s="4">
        <f t="shared" si="5"/>
        <v>1</v>
      </c>
      <c r="H117" s="4" t="str">
        <f t="shared" si="6"/>
        <v>C3</v>
      </c>
      <c r="I117" s="108"/>
      <c r="J117" s="108"/>
      <c r="M117" s="72"/>
      <c r="N117" s="4" t="str">
        <v>siti</v>
      </c>
      <c r="O117" s="72"/>
    </row>
    <row r="118" spans="1:18" x14ac:dyDescent="0.35">
      <c r="A118" s="4">
        <v>51</v>
      </c>
      <c r="B118" s="4" t="s">
        <v>327</v>
      </c>
      <c r="C118" s="4">
        <f t="shared" si="1"/>
        <v>1.4142135623730951</v>
      </c>
      <c r="D118" s="4">
        <f t="shared" si="2"/>
        <v>3.3166247903553998</v>
      </c>
      <c r="E118" s="4">
        <f t="shared" si="3"/>
        <v>2.4494897427831779</v>
      </c>
      <c r="F118" s="4">
        <f t="shared" si="4"/>
        <v>3.1622776601683795</v>
      </c>
      <c r="G118" s="4">
        <f t="shared" si="5"/>
        <v>1.4142135623730951</v>
      </c>
      <c r="H118" s="4" t="str">
        <f t="shared" si="6"/>
        <v>C1</v>
      </c>
      <c r="I118" s="108"/>
      <c r="J118" s="108"/>
      <c r="M118" s="72"/>
      <c r="N118" s="4" t="str">
        <v>reny</v>
      </c>
      <c r="O118" s="72"/>
    </row>
    <row r="119" spans="1:18" x14ac:dyDescent="0.35">
      <c r="A119" s="4">
        <v>52</v>
      </c>
      <c r="B119" s="4" t="s">
        <v>328</v>
      </c>
      <c r="C119" s="4">
        <f t="shared" si="1"/>
        <v>3.6055512754639891</v>
      </c>
      <c r="D119" s="4">
        <f t="shared" si="2"/>
        <v>2.4494897427831779</v>
      </c>
      <c r="E119" s="4">
        <f t="shared" si="3"/>
        <v>1.7320508075688772</v>
      </c>
      <c r="F119" s="4">
        <f t="shared" si="4"/>
        <v>3.6055512754639891</v>
      </c>
      <c r="G119" s="4">
        <f t="shared" si="5"/>
        <v>1.7320508075688772</v>
      </c>
      <c r="H119" s="4" t="str">
        <f t="shared" si="6"/>
        <v>C3</v>
      </c>
      <c r="I119" s="108"/>
      <c r="J119" s="108"/>
      <c r="M119" s="72"/>
      <c r="N119" s="4" t="str">
        <v>desy</v>
      </c>
      <c r="O119" s="72"/>
    </row>
    <row r="120" spans="1:18" x14ac:dyDescent="0.35">
      <c r="A120" s="4">
        <v>53</v>
      </c>
      <c r="B120" s="4" t="s">
        <v>329</v>
      </c>
      <c r="C120" s="4">
        <f t="shared" si="1"/>
        <v>3.6055512754639891</v>
      </c>
      <c r="D120" s="4">
        <f t="shared" si="2"/>
        <v>3.1622776601683795</v>
      </c>
      <c r="E120" s="4">
        <f t="shared" si="3"/>
        <v>3</v>
      </c>
      <c r="F120" s="4">
        <f t="shared" si="4"/>
        <v>2.2360679774997898</v>
      </c>
      <c r="G120" s="4">
        <f t="shared" si="5"/>
        <v>2.2360679774997898</v>
      </c>
      <c r="H120" s="4" t="str">
        <f t="shared" si="6"/>
        <v>C4</v>
      </c>
      <c r="I120" s="108"/>
      <c r="J120" s="108"/>
      <c r="M120" s="72"/>
      <c r="N120" s="4" t="str">
        <v>carmen</v>
      </c>
      <c r="O120" s="72"/>
    </row>
    <row r="121" spans="1:18" x14ac:dyDescent="0.35">
      <c r="A121" s="4">
        <v>54</v>
      </c>
      <c r="B121" s="4" t="s">
        <v>330</v>
      </c>
      <c r="C121" s="4">
        <f t="shared" si="1"/>
        <v>2</v>
      </c>
      <c r="D121" s="4">
        <f t="shared" si="2"/>
        <v>3</v>
      </c>
      <c r="E121" s="4">
        <f>SQRT(SUMXMY2(B55:M55, $B$62:$M$62))</f>
        <v>3.4641016151377544</v>
      </c>
      <c r="F121" s="4">
        <f t="shared" si="4"/>
        <v>3.4641016151377544</v>
      </c>
      <c r="G121" s="4">
        <f t="shared" si="5"/>
        <v>2</v>
      </c>
      <c r="H121" s="4" t="str">
        <f t="shared" si="6"/>
        <v>C1</v>
      </c>
      <c r="I121" s="108"/>
      <c r="J121" s="108"/>
      <c r="M121" s="72"/>
      <c r="N121" s="4" t="str">
        <v>aprilia</v>
      </c>
      <c r="O121" s="72"/>
    </row>
    <row r="124" spans="1:18" x14ac:dyDescent="0.35">
      <c r="A124" s="70" t="s">
        <v>94</v>
      </c>
      <c r="B124" s="70"/>
      <c r="C124" s="70"/>
      <c r="D124" s="70"/>
      <c r="E124" s="70"/>
      <c r="F124" s="70"/>
      <c r="G124" s="70"/>
      <c r="H124" s="70"/>
      <c r="I124" s="70"/>
      <c r="J124" s="70"/>
      <c r="K124" s="70"/>
      <c r="L124" s="70"/>
      <c r="M124" s="70"/>
    </row>
    <row r="125" spans="1:18" ht="15.5" x14ac:dyDescent="0.35">
      <c r="A125" s="59" t="s">
        <v>87</v>
      </c>
      <c r="B125" s="59" t="s">
        <v>192</v>
      </c>
      <c r="C125" s="59" t="s">
        <v>193</v>
      </c>
      <c r="D125" s="59" t="s">
        <v>194</v>
      </c>
      <c r="E125" s="59" t="s">
        <v>195</v>
      </c>
      <c r="F125" s="59" t="s">
        <v>199</v>
      </c>
      <c r="G125" s="59" t="s">
        <v>200</v>
      </c>
      <c r="H125" s="59" t="s">
        <v>201</v>
      </c>
      <c r="I125" s="59" t="s">
        <v>202</v>
      </c>
      <c r="J125" s="59" t="s">
        <v>205</v>
      </c>
      <c r="K125" s="59" t="s">
        <v>206</v>
      </c>
      <c r="L125" s="59" t="s">
        <v>207</v>
      </c>
      <c r="M125" s="59" t="s">
        <v>208</v>
      </c>
      <c r="N125" s="67"/>
      <c r="O125" s="67"/>
      <c r="P125" s="67"/>
      <c r="Q125" s="67"/>
      <c r="R125" s="67"/>
    </row>
    <row r="126" spans="1:18" x14ac:dyDescent="0.35">
      <c r="A126" s="4" t="s">
        <v>49</v>
      </c>
      <c r="B126" s="28">
        <f>AVERAGEIFS(B$2:B$55,$H$68:$H$121, "C1")</f>
        <v>3</v>
      </c>
      <c r="C126" s="28">
        <f t="shared" ref="C126:M126" si="7">AVERAGEIFS(C$2:C$55,$H$68:$H$121, "C1")</f>
        <v>2.1666666666666665</v>
      </c>
      <c r="D126" s="28">
        <f t="shared" si="7"/>
        <v>1.9166666666666667</v>
      </c>
      <c r="E126" s="28">
        <f t="shared" si="7"/>
        <v>2</v>
      </c>
      <c r="F126" s="28">
        <f t="shared" si="7"/>
        <v>3</v>
      </c>
      <c r="G126" s="28">
        <f t="shared" si="7"/>
        <v>2.0833333333333335</v>
      </c>
      <c r="H126" s="28">
        <f t="shared" si="7"/>
        <v>2.1666666666666665</v>
      </c>
      <c r="I126" s="28">
        <f t="shared" si="7"/>
        <v>1.6666666666666667</v>
      </c>
      <c r="J126" s="28">
        <f t="shared" si="7"/>
        <v>2.1666666666666665</v>
      </c>
      <c r="K126" s="28">
        <f t="shared" si="7"/>
        <v>1.8333333333333333</v>
      </c>
      <c r="L126" s="28">
        <f t="shared" si="7"/>
        <v>3</v>
      </c>
      <c r="M126" s="28">
        <f t="shared" si="7"/>
        <v>1.9166666666666667</v>
      </c>
      <c r="N126" s="68"/>
      <c r="O126" s="68"/>
      <c r="P126" s="68"/>
      <c r="Q126" s="68"/>
      <c r="R126" s="68"/>
    </row>
    <row r="127" spans="1:18" x14ac:dyDescent="0.35">
      <c r="A127" s="4" t="s">
        <v>53</v>
      </c>
      <c r="B127" s="49">
        <f>AVERAGEIFS(B$2:B$55,$H$68:$H$121, "C2")</f>
        <v>1.8181818181818181</v>
      </c>
      <c r="C127" s="4">
        <f t="shared" ref="C127:M127" si="8">AVERAGEIFS(C$2:C$55,$H$68:$H$121, "C2")</f>
        <v>3</v>
      </c>
      <c r="D127" s="4">
        <f t="shared" si="8"/>
        <v>2</v>
      </c>
      <c r="E127" s="49">
        <f t="shared" si="8"/>
        <v>1.8181818181818181</v>
      </c>
      <c r="F127" s="49">
        <f t="shared" si="8"/>
        <v>1.9090909090909092</v>
      </c>
      <c r="G127" s="4">
        <f t="shared" si="8"/>
        <v>2</v>
      </c>
      <c r="H127" s="4">
        <f t="shared" si="8"/>
        <v>3</v>
      </c>
      <c r="I127" s="4">
        <f t="shared" si="8"/>
        <v>2</v>
      </c>
      <c r="J127" s="4">
        <f t="shared" si="8"/>
        <v>3</v>
      </c>
      <c r="K127" s="4">
        <f t="shared" si="8"/>
        <v>2</v>
      </c>
      <c r="L127" s="49">
        <f t="shared" si="8"/>
        <v>1.8181818181818181</v>
      </c>
      <c r="M127" s="49">
        <f t="shared" si="8"/>
        <v>1.5454545454545454</v>
      </c>
      <c r="N127" s="30"/>
      <c r="O127" s="30"/>
      <c r="P127" s="30"/>
      <c r="Q127" s="30"/>
      <c r="R127" s="30"/>
    </row>
    <row r="128" spans="1:18" x14ac:dyDescent="0.35">
      <c r="A128" s="4" t="s">
        <v>58</v>
      </c>
      <c r="B128" s="4">
        <f>AVERAGEIFS(B$2:B$55,$H$68:$H$121, "C3")</f>
        <v>2.2000000000000002</v>
      </c>
      <c r="C128" s="49">
        <f t="shared" ref="C128:M128" si="9">AVERAGEIFS(C$2:C$55,$H$68:$H$121, "C3")</f>
        <v>2.1333333333333333</v>
      </c>
      <c r="D128" s="49">
        <f t="shared" si="9"/>
        <v>2.9333333333333331</v>
      </c>
      <c r="E128" s="4">
        <f t="shared" si="9"/>
        <v>2</v>
      </c>
      <c r="F128" s="49">
        <f t="shared" si="9"/>
        <v>2.2666666666666666</v>
      </c>
      <c r="G128" s="4">
        <f t="shared" si="9"/>
        <v>2</v>
      </c>
      <c r="H128" s="49">
        <f t="shared" si="9"/>
        <v>2.0666666666666669</v>
      </c>
      <c r="I128" s="49">
        <f t="shared" si="9"/>
        <v>2.9333333333333331</v>
      </c>
      <c r="J128" s="49">
        <f t="shared" si="9"/>
        <v>2.1333333333333333</v>
      </c>
      <c r="K128" s="49">
        <f t="shared" si="9"/>
        <v>2.9333333333333331</v>
      </c>
      <c r="L128" s="49">
        <f t="shared" si="9"/>
        <v>2.2666666666666666</v>
      </c>
      <c r="M128" s="4">
        <f t="shared" si="9"/>
        <v>2</v>
      </c>
      <c r="N128" s="30"/>
      <c r="O128" s="30"/>
      <c r="P128" s="30"/>
      <c r="Q128" s="30"/>
      <c r="R128" s="30"/>
    </row>
    <row r="129" spans="1:18" x14ac:dyDescent="0.35">
      <c r="A129" s="4" t="s">
        <v>59</v>
      </c>
      <c r="B129" s="4">
        <f>AVERAGEIFS(B$2:B$55,$H$68:$H$121, "C4")</f>
        <v>2</v>
      </c>
      <c r="C129" s="4">
        <f t="shared" ref="C129:M129" si="10">AVERAGEIFS(C$2:C$55,$H$68:$H$121, "C4")</f>
        <v>2.125</v>
      </c>
      <c r="D129" s="49">
        <f t="shared" si="10"/>
        <v>1.875</v>
      </c>
      <c r="E129" s="4">
        <f t="shared" si="10"/>
        <v>3</v>
      </c>
      <c r="F129" s="49">
        <f t="shared" si="10"/>
        <v>1.8125</v>
      </c>
      <c r="G129" s="49">
        <f t="shared" si="10"/>
        <v>2.9375</v>
      </c>
      <c r="H129" s="4">
        <f t="shared" si="10"/>
        <v>2.125</v>
      </c>
      <c r="I129" s="4">
        <f t="shared" si="10"/>
        <v>1.875</v>
      </c>
      <c r="J129" s="69">
        <f t="shared" si="10"/>
        <v>2.1875</v>
      </c>
      <c r="K129" s="4">
        <f t="shared" si="10"/>
        <v>2</v>
      </c>
      <c r="L129" s="49">
        <f t="shared" si="10"/>
        <v>1.8125</v>
      </c>
      <c r="M129" s="4">
        <f t="shared" si="10"/>
        <v>3</v>
      </c>
      <c r="N129" s="30"/>
      <c r="O129" s="30"/>
      <c r="P129" s="30"/>
      <c r="Q129" s="30"/>
      <c r="R129" s="30"/>
    </row>
    <row r="130" spans="1:18" x14ac:dyDescent="0.35">
      <c r="A130" s="30"/>
      <c r="B130" s="68"/>
      <c r="C130" s="68"/>
      <c r="D130" s="68"/>
      <c r="E130" s="68"/>
      <c r="F130" s="68"/>
      <c r="G130" s="68"/>
      <c r="H130" s="68"/>
      <c r="I130" s="68"/>
      <c r="J130" s="68"/>
      <c r="K130" s="68"/>
      <c r="L130" s="68"/>
      <c r="M130" s="68"/>
      <c r="N130" s="68"/>
      <c r="O130" s="68"/>
      <c r="P130" s="68"/>
      <c r="Q130" s="68"/>
      <c r="R130" s="68"/>
    </row>
    <row r="131" spans="1:18" x14ac:dyDescent="0.35">
      <c r="A131" s="30"/>
      <c r="B131" s="30"/>
      <c r="C131" s="30"/>
      <c r="D131" s="30"/>
      <c r="E131" s="30"/>
      <c r="F131" s="30"/>
      <c r="G131" s="30"/>
      <c r="H131" s="30"/>
      <c r="I131" s="30"/>
      <c r="J131" s="30"/>
      <c r="K131" s="30"/>
      <c r="L131" s="30"/>
      <c r="M131" s="30"/>
      <c r="N131" s="30"/>
      <c r="O131" s="30"/>
      <c r="P131" s="30"/>
      <c r="Q131" s="30"/>
      <c r="R131" s="30"/>
    </row>
    <row r="132" spans="1:18" x14ac:dyDescent="0.35">
      <c r="A132" s="111" t="s">
        <v>252</v>
      </c>
      <c r="B132" s="112"/>
      <c r="C132" s="112"/>
      <c r="D132" s="112"/>
      <c r="E132" s="112"/>
      <c r="F132" s="112"/>
      <c r="G132" s="112"/>
      <c r="H132" s="112"/>
      <c r="I132" s="113"/>
      <c r="J132" s="113"/>
      <c r="K132" s="30"/>
      <c r="L132" s="30"/>
      <c r="M132" s="42" t="s">
        <v>186</v>
      </c>
      <c r="N132" s="42" t="s">
        <v>331</v>
      </c>
      <c r="O132" s="42" t="s">
        <v>332</v>
      </c>
      <c r="P132" s="42" t="s">
        <v>333</v>
      </c>
      <c r="Q132" s="30"/>
      <c r="R132" s="30"/>
    </row>
    <row r="133" spans="1:18" x14ac:dyDescent="0.35">
      <c r="A133" s="43" t="s">
        <v>236</v>
      </c>
      <c r="B133" s="59" t="s">
        <v>106</v>
      </c>
      <c r="C133" s="59" t="s">
        <v>49</v>
      </c>
      <c r="D133" s="59" t="s">
        <v>53</v>
      </c>
      <c r="E133" s="59" t="s">
        <v>58</v>
      </c>
      <c r="F133" s="59" t="s">
        <v>59</v>
      </c>
      <c r="G133" s="42" t="s">
        <v>86</v>
      </c>
      <c r="H133" s="42" t="s">
        <v>87</v>
      </c>
      <c r="I133" s="109"/>
      <c r="J133" s="109"/>
      <c r="M133" s="72" t="s">
        <v>49</v>
      </c>
      <c r="N133" s="41" t="str" cm="1">
        <f t="array" ref="N133:N144">_xlfn._xlws.FILTER(B134:B187,H134:H187="C1")</f>
        <v>arhan</v>
      </c>
      <c r="O133" s="72">
        <v>12</v>
      </c>
      <c r="P133" s="4">
        <f>SUM(O133:O186)</f>
        <v>54</v>
      </c>
    </row>
    <row r="134" spans="1:18" x14ac:dyDescent="0.35">
      <c r="A134" s="4">
        <v>1</v>
      </c>
      <c r="B134" s="4" t="s">
        <v>287</v>
      </c>
      <c r="C134" s="4">
        <f>SQRT(SUMXMY2(B2:M2, $B$126:$M$126))</f>
        <v>1.1873172373979173</v>
      </c>
      <c r="D134" s="4">
        <f>SQRT(SUMXMY2(B2:M2, $B$127:$M$127))</f>
        <v>2.883409368573401</v>
      </c>
      <c r="E134" s="4">
        <f>SQRT(SUMXMY2(B2:M2, $B$128:$M$128))</f>
        <v>2.8697657666707843</v>
      </c>
      <c r="F134" s="4">
        <f>SQRT(SUMXMY2(B2:M2, $B$129:$M$129))</f>
        <v>3.247595264191645</v>
      </c>
      <c r="G134" s="4">
        <f>MIN(C134:F134)</f>
        <v>1.1873172373979173</v>
      </c>
      <c r="H134" s="4" t="str">
        <f t="shared" ref="H134:H158" si="11">"C"&amp;MATCH(G134,C134:F134,0)</f>
        <v>C1</v>
      </c>
      <c r="I134" s="110"/>
      <c r="J134" s="110"/>
      <c r="M134" s="72"/>
      <c r="N134" s="41" t="str">
        <v>rama</v>
      </c>
      <c r="O134" s="72"/>
    </row>
    <row r="135" spans="1:18" x14ac:dyDescent="0.35">
      <c r="A135" s="4">
        <v>2</v>
      </c>
      <c r="B135" s="4" t="s">
        <v>288</v>
      </c>
      <c r="C135" s="4">
        <f t="shared" ref="C135:C187" si="12">SQRT(SUMXMY2(B3:M3, $B$126:$M$126))</f>
        <v>3.174332825790152</v>
      </c>
      <c r="D135" s="4">
        <f t="shared" ref="D135:D187" si="13">SQRT(SUMXMY2(B3:M3, $B$127:$M$127))</f>
        <v>1.2952551680704552</v>
      </c>
      <c r="E135" s="4">
        <f t="shared" ref="E135:E187" si="14">SQRT(SUMXMY2(B3:M3, $B$128:$M$128))</f>
        <v>2.9272664533466859</v>
      </c>
      <c r="F135" s="4">
        <f t="shared" ref="F135:F187" si="15">SQRT(SUMXMY2(B3:M3, $B$129:$M$129))</f>
        <v>3.4888214342382158</v>
      </c>
      <c r="G135" s="4">
        <f t="shared" ref="G135:G187" si="16">MIN(C135:F135)</f>
        <v>1.2952551680704552</v>
      </c>
      <c r="H135" s="4" t="str">
        <f t="shared" si="11"/>
        <v>C2</v>
      </c>
      <c r="I135" s="110"/>
      <c r="J135" s="110"/>
      <c r="M135" s="72"/>
      <c r="N135" s="41" t="str">
        <v>sofia</v>
      </c>
      <c r="O135" s="72"/>
    </row>
    <row r="136" spans="1:18" x14ac:dyDescent="0.35">
      <c r="A136" s="4">
        <v>3</v>
      </c>
      <c r="B136" s="4" t="s">
        <v>289</v>
      </c>
      <c r="C136" s="4">
        <f t="shared" si="12"/>
        <v>2.0999338613923588</v>
      </c>
      <c r="D136" s="4">
        <f t="shared" si="13"/>
        <v>3.1973646172852686</v>
      </c>
      <c r="E136" s="4">
        <f t="shared" si="14"/>
        <v>1.3299958228840001</v>
      </c>
      <c r="F136" s="4">
        <f t="shared" si="15"/>
        <v>3.2088744132483589</v>
      </c>
      <c r="G136" s="4">
        <f t="shared" si="16"/>
        <v>1.3299958228840001</v>
      </c>
      <c r="H136" s="4" t="str">
        <f t="shared" si="11"/>
        <v>C3</v>
      </c>
      <c r="I136" s="110"/>
      <c r="J136" s="110"/>
      <c r="M136" s="72"/>
      <c r="N136" s="41" t="str">
        <v>gagang</v>
      </c>
      <c r="O136" s="72"/>
    </row>
    <row r="137" spans="1:18" x14ac:dyDescent="0.35">
      <c r="A137" s="4">
        <v>4</v>
      </c>
      <c r="B137" s="4" t="s">
        <v>146</v>
      </c>
      <c r="C137" s="4">
        <f t="shared" si="12"/>
        <v>3.0945741046045239</v>
      </c>
      <c r="D137" s="4">
        <f t="shared" si="13"/>
        <v>3.036962379725467</v>
      </c>
      <c r="E137" s="4">
        <f t="shared" si="14"/>
        <v>3.1993054801871534</v>
      </c>
      <c r="F137" s="4">
        <f t="shared" si="15"/>
        <v>1.2437342963832749</v>
      </c>
      <c r="G137" s="4">
        <f t="shared" si="16"/>
        <v>1.2437342963832749</v>
      </c>
      <c r="H137" s="4" t="str">
        <f t="shared" si="11"/>
        <v>C4</v>
      </c>
      <c r="I137" s="110"/>
      <c r="J137" s="110"/>
      <c r="M137" s="72"/>
      <c r="N137" s="4" t="str">
        <v>andhika</v>
      </c>
      <c r="O137" s="72"/>
    </row>
    <row r="138" spans="1:18" x14ac:dyDescent="0.35">
      <c r="A138" s="4">
        <v>5</v>
      </c>
      <c r="B138" s="4" t="s">
        <v>134</v>
      </c>
      <c r="C138" s="4">
        <f t="shared" si="12"/>
        <v>4.0095372412398032</v>
      </c>
      <c r="D138" s="4">
        <f t="shared" si="13"/>
        <v>1.7698111212665257</v>
      </c>
      <c r="E138" s="4">
        <f t="shared" si="14"/>
        <v>3.4110930147909415</v>
      </c>
      <c r="F138" s="4">
        <f t="shared" si="15"/>
        <v>3.6635877224382112</v>
      </c>
      <c r="G138" s="4">
        <f t="shared" si="16"/>
        <v>1.7698111212665257</v>
      </c>
      <c r="H138" s="4" t="str">
        <f t="shared" si="11"/>
        <v>C2</v>
      </c>
      <c r="I138" s="110"/>
      <c r="J138" s="110"/>
      <c r="M138" s="72"/>
      <c r="N138" s="4" t="str">
        <v>niko</v>
      </c>
      <c r="O138" s="72"/>
    </row>
    <row r="139" spans="1:18" x14ac:dyDescent="0.35">
      <c r="A139" s="4">
        <v>6</v>
      </c>
      <c r="B139" s="4" t="s">
        <v>244</v>
      </c>
      <c r="C139" s="4">
        <f t="shared" si="12"/>
        <v>3.2264101137676566</v>
      </c>
      <c r="D139" s="4">
        <f t="shared" si="13"/>
        <v>3.2256718180382133</v>
      </c>
      <c r="E139" s="4">
        <f t="shared" si="14"/>
        <v>3.6196991894661936</v>
      </c>
      <c r="F139" s="4">
        <f t="shared" si="15"/>
        <v>1.5155444566227676</v>
      </c>
      <c r="G139" s="4">
        <f t="shared" si="16"/>
        <v>1.5155444566227676</v>
      </c>
      <c r="H139" s="4" t="str">
        <f t="shared" si="11"/>
        <v>C4</v>
      </c>
      <c r="I139" s="110"/>
      <c r="J139" s="110"/>
      <c r="M139" s="72"/>
      <c r="N139" s="4" t="str">
        <v>fidela</v>
      </c>
      <c r="O139" s="72"/>
    </row>
    <row r="140" spans="1:18" x14ac:dyDescent="0.35">
      <c r="A140" s="4">
        <v>7</v>
      </c>
      <c r="B140" s="4" t="s">
        <v>290</v>
      </c>
      <c r="C140" s="4">
        <f t="shared" si="12"/>
        <v>1.4976833963009524</v>
      </c>
      <c r="D140" s="4">
        <f t="shared" si="13"/>
        <v>2.4946223152749534</v>
      </c>
      <c r="E140" s="4">
        <f t="shared" si="14"/>
        <v>2.9724662412810599</v>
      </c>
      <c r="F140" s="4">
        <f t="shared" si="15"/>
        <v>3.049077729412617</v>
      </c>
      <c r="G140" s="4">
        <f t="shared" si="16"/>
        <v>1.4976833963009524</v>
      </c>
      <c r="H140" s="4" t="str">
        <f t="shared" si="11"/>
        <v>C1</v>
      </c>
      <c r="I140" s="110"/>
      <c r="J140" s="110"/>
      <c r="M140" s="72"/>
      <c r="N140" s="4" t="str">
        <v>dian</v>
      </c>
      <c r="O140" s="72"/>
    </row>
    <row r="141" spans="1:18" x14ac:dyDescent="0.35">
      <c r="A141" s="4">
        <v>8</v>
      </c>
      <c r="B141" s="4" t="s">
        <v>291</v>
      </c>
      <c r="C141" s="4">
        <f t="shared" si="12"/>
        <v>1.8008485654145259</v>
      </c>
      <c r="D141" s="4">
        <f t="shared" si="13"/>
        <v>1.8204531267727988</v>
      </c>
      <c r="E141" s="4">
        <f t="shared" si="14"/>
        <v>1.6839107920420113</v>
      </c>
      <c r="F141" s="4">
        <f t="shared" si="15"/>
        <v>1.7455300054711176</v>
      </c>
      <c r="G141" s="4">
        <f t="shared" si="16"/>
        <v>1.6839107920420113</v>
      </c>
      <c r="H141" s="4" t="str">
        <f t="shared" si="11"/>
        <v>C3</v>
      </c>
      <c r="I141" s="110"/>
      <c r="J141" s="110"/>
      <c r="M141" s="72"/>
      <c r="N141" s="4" t="str">
        <v>ryan</v>
      </c>
      <c r="O141" s="72"/>
    </row>
    <row r="142" spans="1:18" x14ac:dyDescent="0.35">
      <c r="A142" s="4">
        <v>9</v>
      </c>
      <c r="B142" s="4" t="s">
        <v>140</v>
      </c>
      <c r="C142" s="4">
        <f t="shared" si="12"/>
        <v>2.8710721961587025</v>
      </c>
      <c r="D142" s="4">
        <f t="shared" si="13"/>
        <v>0.97489139043305528</v>
      </c>
      <c r="E142" s="4">
        <f t="shared" si="14"/>
        <v>2.5888650451930126</v>
      </c>
      <c r="F142" s="4">
        <f t="shared" si="15"/>
        <v>2.407670035532278</v>
      </c>
      <c r="G142" s="4">
        <f t="shared" si="16"/>
        <v>0.97489139043305528</v>
      </c>
      <c r="H142" s="4" t="str">
        <f t="shared" si="11"/>
        <v>C2</v>
      </c>
      <c r="I142" s="110"/>
      <c r="J142" s="110"/>
      <c r="M142" s="72"/>
      <c r="N142" s="4" t="str">
        <v>yana</v>
      </c>
      <c r="O142" s="72"/>
    </row>
    <row r="143" spans="1:18" x14ac:dyDescent="0.35">
      <c r="A143" s="4">
        <v>10</v>
      </c>
      <c r="B143" s="4" t="s">
        <v>292</v>
      </c>
      <c r="C143" s="4">
        <f t="shared" si="12"/>
        <v>2.2897719440056812</v>
      </c>
      <c r="D143" s="4">
        <f t="shared" si="13"/>
        <v>0.56040127299717979</v>
      </c>
      <c r="E143" s="4">
        <f t="shared" si="14"/>
        <v>2.2735190539973238</v>
      </c>
      <c r="F143" s="4">
        <f t="shared" si="15"/>
        <v>2.2741756748325317</v>
      </c>
      <c r="G143" s="4">
        <f t="shared" si="16"/>
        <v>0.56040127299717979</v>
      </c>
      <c r="H143" s="4" t="str">
        <f t="shared" si="11"/>
        <v>C2</v>
      </c>
      <c r="I143" s="110"/>
      <c r="J143" s="110"/>
      <c r="M143" s="72"/>
      <c r="N143" s="4" t="str">
        <v>bryan</v>
      </c>
      <c r="O143" s="72"/>
    </row>
    <row r="144" spans="1:18" x14ac:dyDescent="0.35">
      <c r="A144" s="4">
        <v>11</v>
      </c>
      <c r="B144" s="4" t="s">
        <v>293</v>
      </c>
      <c r="C144" s="4">
        <f t="shared" si="12"/>
        <v>2.4986107250941583</v>
      </c>
      <c r="D144" s="4">
        <f t="shared" si="13"/>
        <v>2.7544104377351122</v>
      </c>
      <c r="E144" s="4">
        <f t="shared" si="14"/>
        <v>2.4156894575991248</v>
      </c>
      <c r="F144" s="4">
        <f t="shared" si="15"/>
        <v>0.41457809879442498</v>
      </c>
      <c r="G144" s="4">
        <f t="shared" si="16"/>
        <v>0.41457809879442498</v>
      </c>
      <c r="H144" s="4" t="str">
        <f t="shared" si="11"/>
        <v>C4</v>
      </c>
      <c r="I144" s="110"/>
      <c r="J144" s="110"/>
      <c r="M144" s="72"/>
      <c r="N144" s="4" t="str">
        <v>salman</v>
      </c>
      <c r="O144" s="72"/>
    </row>
    <row r="145" spans="1:15" x14ac:dyDescent="0.35">
      <c r="A145" s="4">
        <v>12</v>
      </c>
      <c r="B145" s="4" t="s">
        <v>294</v>
      </c>
      <c r="C145" s="4">
        <f t="shared" si="12"/>
        <v>2.0999338613923588</v>
      </c>
      <c r="D145" s="4">
        <f t="shared" si="13"/>
        <v>3.1973646172852686</v>
      </c>
      <c r="E145" s="4">
        <f t="shared" si="14"/>
        <v>1.3299958228840001</v>
      </c>
      <c r="F145" s="4">
        <f t="shared" si="15"/>
        <v>3.2088744132483589</v>
      </c>
      <c r="G145" s="4">
        <f t="shared" si="16"/>
        <v>1.3299958228840001</v>
      </c>
      <c r="H145" s="4" t="str">
        <f t="shared" si="11"/>
        <v>C3</v>
      </c>
      <c r="I145" s="110"/>
      <c r="J145" s="110"/>
      <c r="M145" s="72" t="s">
        <v>53</v>
      </c>
      <c r="N145" s="41" t="str" cm="1">
        <f t="array" ref="N145:N155">_xlfn._xlws.FILTER(B134:B187,H134:H187="C2")</f>
        <v>april</v>
      </c>
      <c r="O145" s="72">
        <v>11</v>
      </c>
    </row>
    <row r="146" spans="1:15" x14ac:dyDescent="0.35">
      <c r="A146" s="4">
        <v>13</v>
      </c>
      <c r="B146" s="4" t="s">
        <v>295</v>
      </c>
      <c r="C146" s="4">
        <f t="shared" si="12"/>
        <v>2.4650332429581736</v>
      </c>
      <c r="D146" s="4">
        <f t="shared" si="13"/>
        <v>0.63636363636363635</v>
      </c>
      <c r="E146" s="4">
        <f t="shared" si="14"/>
        <v>2.4837248013596205</v>
      </c>
      <c r="F146" s="4">
        <f t="shared" si="15"/>
        <v>2.858649156507318</v>
      </c>
      <c r="G146" s="4">
        <f t="shared" si="16"/>
        <v>0.63636363636363635</v>
      </c>
      <c r="H146" s="4" t="str">
        <f t="shared" si="11"/>
        <v>C2</v>
      </c>
      <c r="I146" s="110"/>
      <c r="J146" s="110"/>
      <c r="M146" s="72"/>
      <c r="N146" s="41" t="str">
        <v>dewi</v>
      </c>
      <c r="O146" s="72"/>
    </row>
    <row r="147" spans="1:15" x14ac:dyDescent="0.35">
      <c r="A147" s="4">
        <v>14</v>
      </c>
      <c r="B147" s="4" t="s">
        <v>296</v>
      </c>
      <c r="C147" s="4">
        <f t="shared" si="12"/>
        <v>2.7220804951768458</v>
      </c>
      <c r="D147" s="4">
        <f t="shared" si="13"/>
        <v>2.5127772656518643</v>
      </c>
      <c r="E147" s="4">
        <f t="shared" si="14"/>
        <v>0.48534065928536801</v>
      </c>
      <c r="F147" s="4">
        <f t="shared" si="15"/>
        <v>2.55868618630734</v>
      </c>
      <c r="G147" s="4">
        <f t="shared" si="16"/>
        <v>0.48534065928536801</v>
      </c>
      <c r="H147" s="4" t="str">
        <f t="shared" si="11"/>
        <v>C3</v>
      </c>
      <c r="I147" s="110"/>
      <c r="J147" s="110"/>
      <c r="M147" s="72"/>
      <c r="N147" s="41" t="str">
        <v>nabila</v>
      </c>
      <c r="O147" s="72"/>
    </row>
    <row r="148" spans="1:15" x14ac:dyDescent="0.35">
      <c r="A148" s="4">
        <v>15</v>
      </c>
      <c r="B148" s="4" t="s">
        <v>297</v>
      </c>
      <c r="C148" s="4">
        <f t="shared" si="12"/>
        <v>2.7525240941522906</v>
      </c>
      <c r="D148" s="4">
        <f t="shared" si="13"/>
        <v>3.2537327578496877</v>
      </c>
      <c r="E148" s="4">
        <f t="shared" si="14"/>
        <v>2.6398653164297774</v>
      </c>
      <c r="F148" s="4">
        <f t="shared" si="15"/>
        <v>1.192424001771182</v>
      </c>
      <c r="G148" s="4">
        <f t="shared" si="16"/>
        <v>1.192424001771182</v>
      </c>
      <c r="H148" s="4" t="str">
        <f t="shared" si="11"/>
        <v>C4</v>
      </c>
      <c r="I148" s="110"/>
      <c r="J148" s="110"/>
      <c r="M148" s="72"/>
      <c r="N148" s="41" t="str">
        <v>dafinna</v>
      </c>
      <c r="O148" s="72"/>
    </row>
    <row r="149" spans="1:15" x14ac:dyDescent="0.35">
      <c r="A149" s="4">
        <v>16</v>
      </c>
      <c r="B149" s="4" t="s">
        <v>143</v>
      </c>
      <c r="C149" s="4">
        <f t="shared" si="12"/>
        <v>1.25554326444328</v>
      </c>
      <c r="D149" s="4">
        <f t="shared" si="13"/>
        <v>3.1973646172852686</v>
      </c>
      <c r="E149" s="4">
        <f t="shared" si="14"/>
        <v>2.3456816114345571</v>
      </c>
      <c r="F149" s="4">
        <f t="shared" si="15"/>
        <v>2.8367014294775541</v>
      </c>
      <c r="G149" s="4">
        <f t="shared" si="16"/>
        <v>1.25554326444328</v>
      </c>
      <c r="H149" s="4" t="str">
        <f t="shared" si="11"/>
        <v>C1</v>
      </c>
      <c r="I149" s="110"/>
      <c r="J149" s="110"/>
      <c r="M149" s="72"/>
      <c r="N149" s="41" t="str">
        <v>abdul</v>
      </c>
      <c r="O149" s="72"/>
    </row>
    <row r="150" spans="1:15" x14ac:dyDescent="0.35">
      <c r="A150" s="4">
        <v>17</v>
      </c>
      <c r="B150" s="4" t="s">
        <v>298</v>
      </c>
      <c r="C150" s="4">
        <f t="shared" si="12"/>
        <v>2.2897719440056812</v>
      </c>
      <c r="D150" s="4">
        <f t="shared" si="13"/>
        <v>0.56040127299717979</v>
      </c>
      <c r="E150" s="4">
        <f t="shared" si="14"/>
        <v>2.2735190539973238</v>
      </c>
      <c r="F150" s="4">
        <f t="shared" si="15"/>
        <v>2.2741756748325317</v>
      </c>
      <c r="G150" s="4">
        <f t="shared" si="16"/>
        <v>0.56040127299717979</v>
      </c>
      <c r="H150" s="4" t="str">
        <f t="shared" si="11"/>
        <v>C2</v>
      </c>
      <c r="I150" s="110"/>
      <c r="J150" s="110"/>
      <c r="M150" s="72"/>
      <c r="N150" s="41" t="str">
        <v>lany</v>
      </c>
      <c r="O150" s="72"/>
    </row>
    <row r="151" spans="1:15" x14ac:dyDescent="0.35">
      <c r="A151" s="4">
        <v>18</v>
      </c>
      <c r="B151" s="4" t="s">
        <v>299</v>
      </c>
      <c r="C151" s="4">
        <f t="shared" si="12"/>
        <v>2.4986107250941583</v>
      </c>
      <c r="D151" s="4">
        <f t="shared" si="13"/>
        <v>2.7544104377351122</v>
      </c>
      <c r="E151" s="4">
        <f t="shared" si="14"/>
        <v>2.4156894575991248</v>
      </c>
      <c r="F151" s="4">
        <f t="shared" si="15"/>
        <v>0.41457809879442498</v>
      </c>
      <c r="G151" s="4">
        <f t="shared" si="16"/>
        <v>0.41457809879442498</v>
      </c>
      <c r="H151" s="4" t="str">
        <f t="shared" si="11"/>
        <v>C4</v>
      </c>
      <c r="I151" s="110"/>
      <c r="J151" s="110"/>
      <c r="M151" s="72"/>
      <c r="N151" s="41" t="str">
        <v>yuli</v>
      </c>
      <c r="O151" s="72"/>
    </row>
    <row r="152" spans="1:15" x14ac:dyDescent="0.35">
      <c r="A152" s="4">
        <v>19</v>
      </c>
      <c r="B152" s="4" t="s">
        <v>300</v>
      </c>
      <c r="C152" s="4">
        <f t="shared" si="12"/>
        <v>2.7220804951768458</v>
      </c>
      <c r="D152" s="4">
        <f t="shared" si="13"/>
        <v>2.5127772656518643</v>
      </c>
      <c r="E152" s="4">
        <f t="shared" si="14"/>
        <v>0.48534065928536801</v>
      </c>
      <c r="F152" s="4">
        <f t="shared" si="15"/>
        <v>2.55868618630734</v>
      </c>
      <c r="G152" s="4">
        <f t="shared" si="16"/>
        <v>0.48534065928536801</v>
      </c>
      <c r="H152" s="4" t="str">
        <f t="shared" si="11"/>
        <v>C3</v>
      </c>
      <c r="I152" s="110"/>
      <c r="J152" s="110"/>
      <c r="M152" s="72"/>
      <c r="N152" s="41" t="str">
        <v>heny</v>
      </c>
      <c r="O152" s="72"/>
    </row>
    <row r="153" spans="1:15" x14ac:dyDescent="0.35">
      <c r="A153" s="4">
        <v>20</v>
      </c>
      <c r="B153" s="4" t="s">
        <v>301</v>
      </c>
      <c r="C153" s="4">
        <f t="shared" si="12"/>
        <v>2.0999338613923588</v>
      </c>
      <c r="D153" s="4">
        <f t="shared" si="13"/>
        <v>3.1973646172852686</v>
      </c>
      <c r="E153" s="4">
        <f t="shared" si="14"/>
        <v>1.3299958228840001</v>
      </c>
      <c r="F153" s="4">
        <f t="shared" si="15"/>
        <v>3.2088744132483589</v>
      </c>
      <c r="G153" s="4">
        <f t="shared" si="16"/>
        <v>1.3299958228840001</v>
      </c>
      <c r="H153" s="4" t="str">
        <f t="shared" si="11"/>
        <v>C3</v>
      </c>
      <c r="I153" s="110"/>
      <c r="J153" s="110"/>
      <c r="M153" s="72"/>
      <c r="N153" s="41" t="str">
        <v>rere</v>
      </c>
      <c r="O153" s="72"/>
    </row>
    <row r="154" spans="1:15" x14ac:dyDescent="0.35">
      <c r="A154" s="4">
        <v>21</v>
      </c>
      <c r="B154" s="4" t="s">
        <v>302</v>
      </c>
      <c r="C154" s="4">
        <f t="shared" si="12"/>
        <v>2.4650332429581736</v>
      </c>
      <c r="D154" s="4">
        <f t="shared" si="13"/>
        <v>0.63636363636363635</v>
      </c>
      <c r="E154" s="4">
        <f t="shared" si="14"/>
        <v>2.4837248013596205</v>
      </c>
      <c r="F154" s="4">
        <f t="shared" si="15"/>
        <v>2.858649156507318</v>
      </c>
      <c r="G154" s="4">
        <f t="shared" si="16"/>
        <v>0.63636363636363635</v>
      </c>
      <c r="H154" s="4" t="str">
        <f t="shared" si="11"/>
        <v>C2</v>
      </c>
      <c r="I154" s="110"/>
      <c r="J154" s="110"/>
      <c r="M154" s="72"/>
      <c r="N154" s="41" t="str">
        <v>afifah</v>
      </c>
      <c r="O154" s="72"/>
    </row>
    <row r="155" spans="1:15" x14ac:dyDescent="0.35">
      <c r="A155" s="4">
        <v>22</v>
      </c>
      <c r="B155" s="4" t="s">
        <v>303</v>
      </c>
      <c r="C155" s="4">
        <f t="shared" si="12"/>
        <v>2.7220804951768458</v>
      </c>
      <c r="D155" s="4">
        <f t="shared" si="13"/>
        <v>2.5127772656518643</v>
      </c>
      <c r="E155" s="4">
        <f t="shared" si="14"/>
        <v>0.48534065928536801</v>
      </c>
      <c r="F155" s="4">
        <f t="shared" si="15"/>
        <v>2.55868618630734</v>
      </c>
      <c r="G155" s="4">
        <f t="shared" si="16"/>
        <v>0.48534065928536801</v>
      </c>
      <c r="H155" s="4" t="str">
        <f t="shared" si="11"/>
        <v>C3</v>
      </c>
      <c r="I155" s="110"/>
      <c r="J155" s="110"/>
      <c r="M155" s="72"/>
      <c r="N155" s="41" t="str">
        <v>naffa</v>
      </c>
      <c r="O155" s="72"/>
    </row>
    <row r="156" spans="1:15" x14ac:dyDescent="0.35">
      <c r="A156" s="4">
        <v>23</v>
      </c>
      <c r="B156" s="4" t="s">
        <v>304</v>
      </c>
      <c r="C156" s="4">
        <f t="shared" si="12"/>
        <v>2.4986107250941583</v>
      </c>
      <c r="D156" s="4">
        <f t="shared" si="13"/>
        <v>2.7544104377351122</v>
      </c>
      <c r="E156" s="4">
        <f t="shared" si="14"/>
        <v>2.4156894575991248</v>
      </c>
      <c r="F156" s="4">
        <f t="shared" si="15"/>
        <v>0.41457809879442498</v>
      </c>
      <c r="G156" s="4">
        <f t="shared" si="16"/>
        <v>0.41457809879442498</v>
      </c>
      <c r="H156" s="4" t="str">
        <f t="shared" si="11"/>
        <v>C4</v>
      </c>
      <c r="I156" s="110"/>
      <c r="J156" s="110"/>
      <c r="M156" s="72" t="s">
        <v>58</v>
      </c>
      <c r="N156" s="4" t="str" cm="1">
        <f t="array" ref="N156:N170">_xlfn._xlws.FILTER(B134:B187,H134:H187="C3")</f>
        <v>lisa</v>
      </c>
      <c r="O156" s="72">
        <v>15</v>
      </c>
    </row>
    <row r="157" spans="1:15" x14ac:dyDescent="0.35">
      <c r="A157" s="4">
        <v>24</v>
      </c>
      <c r="B157" s="4" t="s">
        <v>305</v>
      </c>
      <c r="C157" s="4">
        <f t="shared" si="12"/>
        <v>2.4986107250941583</v>
      </c>
      <c r="D157" s="4">
        <f t="shared" si="13"/>
        <v>2.7544104377351122</v>
      </c>
      <c r="E157" s="4">
        <f t="shared" si="14"/>
        <v>2.4156894575991248</v>
      </c>
      <c r="F157" s="4">
        <f t="shared" si="15"/>
        <v>0.41457809879442498</v>
      </c>
      <c r="G157" s="4">
        <f t="shared" si="16"/>
        <v>0.41457809879442498</v>
      </c>
      <c r="H157" s="4" t="str">
        <f t="shared" si="11"/>
        <v>C4</v>
      </c>
      <c r="I157" s="110"/>
      <c r="J157" s="110"/>
      <c r="M157" s="72"/>
      <c r="N157" s="4" t="str">
        <v>putra</v>
      </c>
      <c r="O157" s="72"/>
    </row>
    <row r="158" spans="1:15" x14ac:dyDescent="0.35">
      <c r="A158" s="4">
        <v>25</v>
      </c>
      <c r="B158" s="4" t="s">
        <v>306</v>
      </c>
      <c r="C158" s="4">
        <f t="shared" si="12"/>
        <v>0.49300664859163446</v>
      </c>
      <c r="D158" s="4">
        <f t="shared" si="13"/>
        <v>2.6875900907444517</v>
      </c>
      <c r="E158" s="4">
        <f t="shared" si="14"/>
        <v>2.0901887208787842</v>
      </c>
      <c r="F158" s="4">
        <f t="shared" si="15"/>
        <v>2.6070817018267762</v>
      </c>
      <c r="G158" s="4">
        <f t="shared" si="16"/>
        <v>0.49300664859163446</v>
      </c>
      <c r="H158" s="4" t="str">
        <f t="shared" si="11"/>
        <v>C1</v>
      </c>
      <c r="I158" s="110"/>
      <c r="J158" s="110"/>
      <c r="M158" s="72"/>
      <c r="N158" s="4" t="str">
        <v>rangga</v>
      </c>
      <c r="O158" s="72"/>
    </row>
    <row r="159" spans="1:15" x14ac:dyDescent="0.35">
      <c r="A159" s="4">
        <v>26</v>
      </c>
      <c r="B159" s="4" t="s">
        <v>166</v>
      </c>
      <c r="C159" s="4">
        <f t="shared" si="12"/>
        <v>2.2897719440056812</v>
      </c>
      <c r="D159" s="4">
        <f t="shared" si="13"/>
        <v>0.56040127299717979</v>
      </c>
      <c r="E159" s="4">
        <f t="shared" si="14"/>
        <v>2.2735190539973238</v>
      </c>
      <c r="F159" s="4">
        <f t="shared" si="15"/>
        <v>2.2741756748325317</v>
      </c>
      <c r="G159" s="4">
        <f t="shared" si="16"/>
        <v>0.56040127299717979</v>
      </c>
      <c r="H159" s="4" t="str">
        <f t="shared" ref="H159:H187" si="17">"C"&amp;MATCH(G159,C159:F159,0)</f>
        <v>C2</v>
      </c>
      <c r="I159" s="110"/>
      <c r="J159" s="110"/>
      <c r="M159" s="72"/>
      <c r="N159" s="4" t="str">
        <v>fadhil</v>
      </c>
      <c r="O159" s="72"/>
    </row>
    <row r="160" spans="1:15" x14ac:dyDescent="0.35">
      <c r="A160" s="4">
        <v>27</v>
      </c>
      <c r="B160" s="4" t="s">
        <v>160</v>
      </c>
      <c r="C160" s="4">
        <f t="shared" si="12"/>
        <v>0.49300664859163446</v>
      </c>
      <c r="D160" s="4">
        <f t="shared" si="13"/>
        <v>2.6875900907444517</v>
      </c>
      <c r="E160" s="4">
        <f t="shared" si="14"/>
        <v>2.0901887208787842</v>
      </c>
      <c r="F160" s="4">
        <f t="shared" si="15"/>
        <v>2.6070817018267762</v>
      </c>
      <c r="G160" s="4">
        <f t="shared" si="16"/>
        <v>0.49300664859163446</v>
      </c>
      <c r="H160" s="4" t="str">
        <f t="shared" si="17"/>
        <v>C1</v>
      </c>
      <c r="I160" s="110"/>
      <c r="J160" s="110"/>
      <c r="M160" s="72"/>
      <c r="N160" s="4" t="str">
        <v>cindy</v>
      </c>
      <c r="O160" s="72"/>
    </row>
    <row r="161" spans="1:15" x14ac:dyDescent="0.35">
      <c r="A161" s="4">
        <v>28</v>
      </c>
      <c r="B161" s="4" t="s">
        <v>151</v>
      </c>
      <c r="C161" s="4">
        <f t="shared" si="12"/>
        <v>2.8999521068842191</v>
      </c>
      <c r="D161" s="4">
        <f t="shared" si="13"/>
        <v>3.4039354957907371</v>
      </c>
      <c r="E161" s="4">
        <f t="shared" si="14"/>
        <v>3.1573547296572309</v>
      </c>
      <c r="F161" s="4">
        <f t="shared" si="15"/>
        <v>1.4737282653189494</v>
      </c>
      <c r="G161" s="4">
        <f t="shared" si="16"/>
        <v>1.4737282653189494</v>
      </c>
      <c r="H161" s="4" t="str">
        <f t="shared" si="17"/>
        <v>C4</v>
      </c>
      <c r="I161" s="110"/>
      <c r="J161" s="110"/>
      <c r="M161" s="72"/>
      <c r="N161" s="4" t="str">
        <v>reyner</v>
      </c>
      <c r="O161" s="72"/>
    </row>
    <row r="162" spans="1:15" x14ac:dyDescent="0.35">
      <c r="A162" s="4">
        <v>29</v>
      </c>
      <c r="B162" s="4" t="s">
        <v>307</v>
      </c>
      <c r="C162" s="4">
        <f t="shared" si="12"/>
        <v>2.7220804951768458</v>
      </c>
      <c r="D162" s="4">
        <f t="shared" si="13"/>
        <v>2.5127772656518643</v>
      </c>
      <c r="E162" s="4">
        <f t="shared" si="14"/>
        <v>0.48534065928536801</v>
      </c>
      <c r="F162" s="4">
        <f t="shared" si="15"/>
        <v>2.55868618630734</v>
      </c>
      <c r="G162" s="4">
        <f t="shared" si="16"/>
        <v>0.48534065928536801</v>
      </c>
      <c r="H162" s="4" t="str">
        <f t="shared" si="17"/>
        <v>C3</v>
      </c>
      <c r="I162" s="110"/>
      <c r="J162" s="110"/>
      <c r="M162" s="72"/>
      <c r="N162" s="4" t="str">
        <v>aditya</v>
      </c>
      <c r="O162" s="72"/>
    </row>
    <row r="163" spans="1:15" x14ac:dyDescent="0.35">
      <c r="A163" s="4">
        <v>30</v>
      </c>
      <c r="B163" s="4" t="s">
        <v>308</v>
      </c>
      <c r="C163" s="4">
        <f t="shared" si="12"/>
        <v>2.2897719440056812</v>
      </c>
      <c r="D163" s="4">
        <f t="shared" si="13"/>
        <v>0.56040127299717979</v>
      </c>
      <c r="E163" s="4">
        <f t="shared" si="14"/>
        <v>2.2735190539973238</v>
      </c>
      <c r="F163" s="4">
        <f t="shared" si="15"/>
        <v>2.2741756748325317</v>
      </c>
      <c r="G163" s="4">
        <f t="shared" si="16"/>
        <v>0.56040127299717979</v>
      </c>
      <c r="H163" s="4" t="str">
        <f t="shared" si="17"/>
        <v>C2</v>
      </c>
      <c r="I163" s="110"/>
      <c r="J163" s="110"/>
      <c r="M163" s="72"/>
      <c r="N163" s="4" t="str">
        <v>yusuf</v>
      </c>
      <c r="O163" s="72"/>
    </row>
    <row r="164" spans="1:15" x14ac:dyDescent="0.35">
      <c r="A164" s="4">
        <v>31</v>
      </c>
      <c r="B164" s="4" t="s">
        <v>309</v>
      </c>
      <c r="C164" s="4">
        <f t="shared" si="12"/>
        <v>1.3819269959814164</v>
      </c>
      <c r="D164" s="4">
        <f t="shared" si="13"/>
        <v>3.350095595034233</v>
      </c>
      <c r="E164" s="4">
        <f t="shared" si="14"/>
        <v>2.9158570304838713</v>
      </c>
      <c r="F164" s="4">
        <f t="shared" si="15"/>
        <v>2.9659526294261682</v>
      </c>
      <c r="G164" s="4">
        <f t="shared" si="16"/>
        <v>1.3819269959814164</v>
      </c>
      <c r="H164" s="4" t="str">
        <f t="shared" si="17"/>
        <v>C1</v>
      </c>
      <c r="I164" s="110"/>
      <c r="J164" s="110"/>
      <c r="M164" s="72"/>
      <c r="N164" s="4" t="str">
        <v>nanda</v>
      </c>
      <c r="O164" s="72"/>
    </row>
    <row r="165" spans="1:15" x14ac:dyDescent="0.35">
      <c r="A165" s="4">
        <v>32</v>
      </c>
      <c r="B165" s="4" t="s">
        <v>310</v>
      </c>
      <c r="C165" s="4">
        <f t="shared" si="12"/>
        <v>3.0402393911591163</v>
      </c>
      <c r="D165" s="4">
        <f t="shared" si="13"/>
        <v>2.8991306762003588</v>
      </c>
      <c r="E165" s="4">
        <f t="shared" si="14"/>
        <v>2.7145697428669773</v>
      </c>
      <c r="F165" s="4">
        <f t="shared" si="15"/>
        <v>0.8926785535678563</v>
      </c>
      <c r="G165" s="4">
        <f t="shared" si="16"/>
        <v>0.8926785535678563</v>
      </c>
      <c r="H165" s="4" t="str">
        <f t="shared" si="17"/>
        <v>C4</v>
      </c>
      <c r="I165" s="110"/>
      <c r="J165" s="110"/>
      <c r="M165" s="72"/>
      <c r="N165" s="4" t="str">
        <v>helmy</v>
      </c>
      <c r="O165" s="72"/>
    </row>
    <row r="166" spans="1:15" x14ac:dyDescent="0.35">
      <c r="A166" s="4">
        <v>33</v>
      </c>
      <c r="B166" s="4" t="s">
        <v>311</v>
      </c>
      <c r="C166" s="4">
        <f t="shared" si="12"/>
        <v>3.3530665897884515</v>
      </c>
      <c r="D166" s="4">
        <f t="shared" si="13"/>
        <v>2.2854191072684609</v>
      </c>
      <c r="E166" s="4">
        <f t="shared" si="14"/>
        <v>3.1148390363263108</v>
      </c>
      <c r="F166" s="4">
        <f t="shared" si="15"/>
        <v>1.709349291397168</v>
      </c>
      <c r="G166" s="4">
        <f t="shared" si="16"/>
        <v>1.709349291397168</v>
      </c>
      <c r="H166" s="4" t="str">
        <f t="shared" si="17"/>
        <v>C4</v>
      </c>
      <c r="I166" s="110"/>
      <c r="J166" s="110"/>
      <c r="M166" s="72"/>
      <c r="N166" s="4" t="str">
        <v>arto</v>
      </c>
      <c r="O166" s="72"/>
    </row>
    <row r="167" spans="1:15" x14ac:dyDescent="0.35">
      <c r="A167" s="4">
        <v>34</v>
      </c>
      <c r="B167" s="4" t="s">
        <v>312</v>
      </c>
      <c r="C167" s="4">
        <f t="shared" si="12"/>
        <v>1.4976833963009526</v>
      </c>
      <c r="D167" s="4">
        <f t="shared" si="13"/>
        <v>2.0550281009922391</v>
      </c>
      <c r="E167" s="4">
        <f t="shared" si="14"/>
        <v>2.5888650451930126</v>
      </c>
      <c r="F167" s="4">
        <f t="shared" si="15"/>
        <v>2.9869507863371303</v>
      </c>
      <c r="G167" s="4">
        <f t="shared" si="16"/>
        <v>1.4976833963009526</v>
      </c>
      <c r="H167" s="4" t="str">
        <f t="shared" si="17"/>
        <v>C1</v>
      </c>
      <c r="I167" s="110"/>
      <c r="J167" s="110"/>
      <c r="M167" s="72"/>
      <c r="N167" s="4" t="str">
        <v>musa</v>
      </c>
      <c r="O167" s="72"/>
    </row>
    <row r="168" spans="1:15" x14ac:dyDescent="0.35">
      <c r="A168" s="4">
        <v>35</v>
      </c>
      <c r="B168" s="4" t="s">
        <v>313</v>
      </c>
      <c r="C168" s="4">
        <f t="shared" si="12"/>
        <v>2.4986107250941583</v>
      </c>
      <c r="D168" s="4">
        <f t="shared" si="13"/>
        <v>2.7544104377351122</v>
      </c>
      <c r="E168" s="4">
        <f t="shared" si="14"/>
        <v>2.4156894575991248</v>
      </c>
      <c r="F168" s="4">
        <f t="shared" si="15"/>
        <v>0.41457809879442498</v>
      </c>
      <c r="G168" s="4">
        <f t="shared" si="16"/>
        <v>0.41457809879442498</v>
      </c>
      <c r="H168" s="4" t="str">
        <f t="shared" si="17"/>
        <v>C4</v>
      </c>
      <c r="I168" s="110"/>
      <c r="J168" s="110"/>
      <c r="M168" s="72"/>
      <c r="N168" s="4" t="str">
        <v>galang</v>
      </c>
      <c r="O168" s="72"/>
    </row>
    <row r="169" spans="1:15" x14ac:dyDescent="0.35">
      <c r="A169" s="4">
        <v>36</v>
      </c>
      <c r="B169" s="4" t="s">
        <v>314</v>
      </c>
      <c r="C169" s="4">
        <f t="shared" si="12"/>
        <v>3.0675270532176606</v>
      </c>
      <c r="D169" s="4">
        <f t="shared" si="13"/>
        <v>1.8204531267727988</v>
      </c>
      <c r="E169" s="4">
        <f t="shared" si="14"/>
        <v>1.6027753706895076</v>
      </c>
      <c r="F169" s="4">
        <f t="shared" si="15"/>
        <v>2.9448047473474368</v>
      </c>
      <c r="G169" s="4">
        <f t="shared" si="16"/>
        <v>1.6027753706895076</v>
      </c>
      <c r="H169" s="4" t="str">
        <f t="shared" si="17"/>
        <v>C3</v>
      </c>
      <c r="I169" s="110"/>
      <c r="J169" s="110"/>
      <c r="M169" s="72"/>
      <c r="N169" s="4" t="str">
        <v>dasyefa</v>
      </c>
      <c r="O169" s="72"/>
    </row>
    <row r="170" spans="1:15" x14ac:dyDescent="0.35">
      <c r="A170" s="4">
        <v>37</v>
      </c>
      <c r="B170" s="4" t="s">
        <v>315</v>
      </c>
      <c r="C170" s="4">
        <f t="shared" si="12"/>
        <v>1.8008485654145254</v>
      </c>
      <c r="D170" s="4">
        <f t="shared" si="13"/>
        <v>3.3905556725402759</v>
      </c>
      <c r="E170" s="4">
        <f t="shared" si="14"/>
        <v>2.7145697428669773</v>
      </c>
      <c r="F170" s="4">
        <f t="shared" si="15"/>
        <v>1.9803724397193574</v>
      </c>
      <c r="G170" s="4">
        <f t="shared" si="16"/>
        <v>1.8008485654145254</v>
      </c>
      <c r="H170" s="4" t="str">
        <f t="shared" si="17"/>
        <v>C1</v>
      </c>
      <c r="I170" s="110"/>
      <c r="J170" s="110"/>
      <c r="M170" s="72"/>
      <c r="N170" s="4" t="str">
        <v>bimo</v>
      </c>
      <c r="O170" s="72"/>
    </row>
    <row r="171" spans="1:15" x14ac:dyDescent="0.35">
      <c r="A171" s="4">
        <v>38</v>
      </c>
      <c r="B171" s="4" t="s">
        <v>316</v>
      </c>
      <c r="C171" s="4">
        <f t="shared" si="12"/>
        <v>2.4650332429581736</v>
      </c>
      <c r="D171" s="4">
        <f t="shared" si="13"/>
        <v>0.63636363636363635</v>
      </c>
      <c r="E171" s="4">
        <f t="shared" si="14"/>
        <v>2.4837248013596205</v>
      </c>
      <c r="F171" s="4">
        <f t="shared" si="15"/>
        <v>2.858649156507318</v>
      </c>
      <c r="G171" s="4">
        <f t="shared" si="16"/>
        <v>0.63636363636363635</v>
      </c>
      <c r="H171" s="4" t="str">
        <f t="shared" si="17"/>
        <v>C2</v>
      </c>
      <c r="I171" s="110"/>
      <c r="J171" s="110"/>
      <c r="M171" s="72" t="s">
        <v>59</v>
      </c>
      <c r="N171" s="4" t="str" cm="1">
        <f t="array" ref="N171:N186">_xlfn._xlws.FILTER(B134:B187,H134:H187="C4")</f>
        <v>yanuar</v>
      </c>
      <c r="O171" s="72">
        <v>16</v>
      </c>
    </row>
    <row r="172" spans="1:15" x14ac:dyDescent="0.35">
      <c r="A172" s="4">
        <v>39</v>
      </c>
      <c r="B172" s="4" t="s">
        <v>178</v>
      </c>
      <c r="C172" s="4">
        <f t="shared" si="12"/>
        <v>0.49300664859163446</v>
      </c>
      <c r="D172" s="4">
        <f t="shared" si="13"/>
        <v>2.6875900907444517</v>
      </c>
      <c r="E172" s="4">
        <f t="shared" si="14"/>
        <v>2.0901887208787842</v>
      </c>
      <c r="F172" s="4">
        <f t="shared" si="15"/>
        <v>2.6070817018267762</v>
      </c>
      <c r="G172" s="4">
        <f t="shared" si="16"/>
        <v>0.49300664859163446</v>
      </c>
      <c r="H172" s="4" t="str">
        <f t="shared" si="17"/>
        <v>C1</v>
      </c>
      <c r="I172" s="110"/>
      <c r="J172" s="110"/>
      <c r="M172" s="72"/>
      <c r="N172" s="4" t="str">
        <v>sahara</v>
      </c>
      <c r="O172" s="72"/>
    </row>
    <row r="173" spans="1:15" x14ac:dyDescent="0.35">
      <c r="A173" s="4">
        <v>40</v>
      </c>
      <c r="B173" s="4" t="s">
        <v>317</v>
      </c>
      <c r="C173" s="4">
        <f t="shared" si="12"/>
        <v>2.4986107250941583</v>
      </c>
      <c r="D173" s="4">
        <f t="shared" si="13"/>
        <v>2.7544104377351122</v>
      </c>
      <c r="E173" s="4">
        <f t="shared" si="14"/>
        <v>2.4156894575991248</v>
      </c>
      <c r="F173" s="4">
        <f t="shared" si="15"/>
        <v>0.41457809879442498</v>
      </c>
      <c r="G173" s="4">
        <f t="shared" si="16"/>
        <v>0.41457809879442498</v>
      </c>
      <c r="H173" s="4" t="str">
        <f t="shared" si="17"/>
        <v>C4</v>
      </c>
      <c r="I173" s="110"/>
      <c r="J173" s="110"/>
      <c r="M173" s="72"/>
      <c r="N173" s="4" t="str">
        <v>fira</v>
      </c>
      <c r="O173" s="72"/>
    </row>
    <row r="174" spans="1:15" x14ac:dyDescent="0.35">
      <c r="A174" s="4">
        <v>41</v>
      </c>
      <c r="B174" s="4" t="s">
        <v>318</v>
      </c>
      <c r="C174" s="4">
        <f t="shared" si="12"/>
        <v>2.0999338613923588</v>
      </c>
      <c r="D174" s="4">
        <f t="shared" si="13"/>
        <v>3.1973646172852686</v>
      </c>
      <c r="E174" s="4">
        <f t="shared" si="14"/>
        <v>1.3299958228840001</v>
      </c>
      <c r="F174" s="4">
        <f t="shared" si="15"/>
        <v>3.2088744132483589</v>
      </c>
      <c r="G174" s="4">
        <f t="shared" si="16"/>
        <v>1.3299958228840001</v>
      </c>
      <c r="H174" s="4" t="str">
        <f t="shared" si="17"/>
        <v>C3</v>
      </c>
      <c r="I174" s="110"/>
      <c r="J174" s="110"/>
      <c r="M174" s="72"/>
      <c r="N174" s="4" t="str">
        <v>rani</v>
      </c>
      <c r="O174" s="72"/>
    </row>
    <row r="175" spans="1:15" x14ac:dyDescent="0.35">
      <c r="A175" s="4">
        <v>42</v>
      </c>
      <c r="B175" s="4" t="s">
        <v>319</v>
      </c>
      <c r="C175" s="4">
        <f t="shared" si="12"/>
        <v>3.6619287571199721</v>
      </c>
      <c r="D175" s="4">
        <f t="shared" si="13"/>
        <v>2.2452889154960856</v>
      </c>
      <c r="E175" s="4">
        <f t="shared" si="14"/>
        <v>3.1993054801871534</v>
      </c>
      <c r="F175" s="4">
        <f t="shared" si="15"/>
        <v>2.1028254801575903</v>
      </c>
      <c r="G175" s="4">
        <f t="shared" si="16"/>
        <v>2.1028254801575903</v>
      </c>
      <c r="H175" s="4" t="str">
        <f t="shared" si="17"/>
        <v>C4</v>
      </c>
      <c r="I175" s="110"/>
      <c r="J175" s="110"/>
      <c r="M175" s="72"/>
      <c r="N175" s="4" t="str">
        <v>sawitri</v>
      </c>
      <c r="O175" s="72"/>
    </row>
    <row r="176" spans="1:15" x14ac:dyDescent="0.35">
      <c r="A176" s="4">
        <v>43</v>
      </c>
      <c r="B176" s="4" t="s">
        <v>320</v>
      </c>
      <c r="C176" s="4">
        <f t="shared" si="12"/>
        <v>1.9773017529507788</v>
      </c>
      <c r="D176" s="4">
        <f t="shared" si="13"/>
        <v>3.3091408587638722</v>
      </c>
      <c r="E176" s="4">
        <f t="shared" si="14"/>
        <v>3.8689648342791751</v>
      </c>
      <c r="F176" s="4">
        <f t="shared" si="15"/>
        <v>3.9111219617905038</v>
      </c>
      <c r="G176" s="4">
        <f t="shared" si="16"/>
        <v>1.9773017529507788</v>
      </c>
      <c r="H176" s="4" t="str">
        <f t="shared" si="17"/>
        <v>C1</v>
      </c>
      <c r="I176" s="110"/>
      <c r="J176" s="110"/>
      <c r="M176" s="72"/>
      <c r="N176" s="4" t="str">
        <v>vivi</v>
      </c>
      <c r="O176" s="72"/>
    </row>
    <row r="177" spans="1:15" x14ac:dyDescent="0.35">
      <c r="A177" s="4">
        <v>44</v>
      </c>
      <c r="B177" s="4" t="s">
        <v>321</v>
      </c>
      <c r="C177" s="4">
        <f t="shared" si="12"/>
        <v>2.4986107250941583</v>
      </c>
      <c r="D177" s="4">
        <f t="shared" si="13"/>
        <v>2.7544104377351122</v>
      </c>
      <c r="E177" s="4">
        <f t="shared" si="14"/>
        <v>2.4156894575991248</v>
      </c>
      <c r="F177" s="4">
        <f t="shared" si="15"/>
        <v>0.41457809879442498</v>
      </c>
      <c r="G177" s="4">
        <f t="shared" si="16"/>
        <v>0.41457809879442498</v>
      </c>
      <c r="H177" s="4" t="str">
        <f t="shared" si="17"/>
        <v>C4</v>
      </c>
      <c r="I177" s="110"/>
      <c r="J177" s="110"/>
      <c r="M177" s="72"/>
      <c r="N177" s="4" t="str">
        <v>adisti</v>
      </c>
      <c r="O177" s="72"/>
    </row>
    <row r="178" spans="1:15" x14ac:dyDescent="0.35">
      <c r="A178" s="4">
        <v>45</v>
      </c>
      <c r="B178" s="4" t="s">
        <v>322</v>
      </c>
      <c r="C178" s="4">
        <f t="shared" si="12"/>
        <v>2.7220804951768458</v>
      </c>
      <c r="D178" s="4">
        <f t="shared" si="13"/>
        <v>2.5127772656518643</v>
      </c>
      <c r="E178" s="4">
        <f t="shared" si="14"/>
        <v>0.48534065928536801</v>
      </c>
      <c r="F178" s="4">
        <f t="shared" si="15"/>
        <v>2.55868618630734</v>
      </c>
      <c r="G178" s="4">
        <f t="shared" si="16"/>
        <v>0.48534065928536801</v>
      </c>
      <c r="H178" s="4" t="str">
        <f t="shared" si="17"/>
        <v>C3</v>
      </c>
      <c r="I178" s="110"/>
      <c r="J178" s="110"/>
      <c r="M178" s="72"/>
      <c r="N178" s="4" t="str">
        <v>dimas</v>
      </c>
      <c r="O178" s="72"/>
    </row>
    <row r="179" spans="1:15" x14ac:dyDescent="0.35">
      <c r="A179" s="4">
        <v>46</v>
      </c>
      <c r="B179" s="4" t="s">
        <v>323</v>
      </c>
      <c r="C179" s="4">
        <f t="shared" si="12"/>
        <v>2.7220804951768458</v>
      </c>
      <c r="D179" s="4">
        <f t="shared" si="13"/>
        <v>2.5127772656518643</v>
      </c>
      <c r="E179" s="4">
        <f t="shared" si="14"/>
        <v>0.48534065928536801</v>
      </c>
      <c r="F179" s="4">
        <f t="shared" si="15"/>
        <v>2.55868618630734</v>
      </c>
      <c r="G179" s="4">
        <f t="shared" si="16"/>
        <v>0.48534065928536801</v>
      </c>
      <c r="H179" s="4" t="str">
        <f t="shared" si="17"/>
        <v>C3</v>
      </c>
      <c r="I179" s="110"/>
      <c r="J179" s="110"/>
      <c r="M179" s="72"/>
      <c r="N179" s="4" t="str">
        <v>aziz</v>
      </c>
      <c r="O179" s="72"/>
    </row>
    <row r="180" spans="1:15" x14ac:dyDescent="0.35">
      <c r="A180" s="4">
        <v>47</v>
      </c>
      <c r="B180" s="4" t="s">
        <v>149</v>
      </c>
      <c r="C180" s="4">
        <f t="shared" si="12"/>
        <v>2.2897719440056812</v>
      </c>
      <c r="D180" s="4">
        <f t="shared" si="13"/>
        <v>0.56040127299717979</v>
      </c>
      <c r="E180" s="4">
        <f t="shared" si="14"/>
        <v>2.2735190539973238</v>
      </c>
      <c r="F180" s="4">
        <f t="shared" si="15"/>
        <v>2.2741756748325317</v>
      </c>
      <c r="G180" s="4">
        <f t="shared" si="16"/>
        <v>0.56040127299717979</v>
      </c>
      <c r="H180" s="4" t="str">
        <f t="shared" si="17"/>
        <v>C2</v>
      </c>
      <c r="I180" s="110"/>
      <c r="J180" s="110"/>
      <c r="M180" s="72"/>
      <c r="N180" s="4" t="str">
        <v>vanda</v>
      </c>
      <c r="O180" s="72"/>
    </row>
    <row r="181" spans="1:15" x14ac:dyDescent="0.35">
      <c r="A181" s="4">
        <v>48</v>
      </c>
      <c r="B181" s="4" t="s">
        <v>324</v>
      </c>
      <c r="C181" s="4">
        <f t="shared" si="12"/>
        <v>2.4986107250941583</v>
      </c>
      <c r="D181" s="4">
        <f t="shared" si="13"/>
        <v>2.7544104377351122</v>
      </c>
      <c r="E181" s="4">
        <f t="shared" si="14"/>
        <v>2.4156894575991248</v>
      </c>
      <c r="F181" s="4">
        <f t="shared" si="15"/>
        <v>0.41457809879442498</v>
      </c>
      <c r="G181" s="4">
        <f t="shared" si="16"/>
        <v>0.41457809879442498</v>
      </c>
      <c r="H181" s="4" t="str">
        <f t="shared" si="17"/>
        <v>C4</v>
      </c>
      <c r="I181" s="110"/>
      <c r="J181" s="110"/>
      <c r="M181" s="72"/>
      <c r="N181" s="4" t="str">
        <v>alfi</v>
      </c>
      <c r="O181" s="72"/>
    </row>
    <row r="182" spans="1:15" x14ac:dyDescent="0.35">
      <c r="A182" s="4">
        <v>49</v>
      </c>
      <c r="B182" s="4" t="s">
        <v>325</v>
      </c>
      <c r="C182" s="4">
        <f t="shared" si="12"/>
        <v>2.9568658332016953</v>
      </c>
      <c r="D182" s="4">
        <f t="shared" si="13"/>
        <v>3.05189278756264</v>
      </c>
      <c r="E182" s="4">
        <f t="shared" si="14"/>
        <v>1.1699952516522831</v>
      </c>
      <c r="F182" s="4">
        <f t="shared" si="15"/>
        <v>2.7922884879610845</v>
      </c>
      <c r="G182" s="4">
        <f t="shared" si="16"/>
        <v>1.1699952516522831</v>
      </c>
      <c r="H182" s="4" t="str">
        <f t="shared" si="17"/>
        <v>C3</v>
      </c>
      <c r="I182" s="110"/>
      <c r="J182" s="110"/>
      <c r="M182" s="72"/>
      <c r="N182" s="4" t="str">
        <v>siti</v>
      </c>
      <c r="O182" s="72"/>
    </row>
    <row r="183" spans="1:15" x14ac:dyDescent="0.35">
      <c r="A183" s="4">
        <v>50</v>
      </c>
      <c r="B183" s="4" t="s">
        <v>326</v>
      </c>
      <c r="C183" s="4">
        <f t="shared" si="12"/>
        <v>3.2264101137676566</v>
      </c>
      <c r="D183" s="4">
        <f t="shared" si="13"/>
        <v>2.6363636363636362</v>
      </c>
      <c r="E183" s="4">
        <f t="shared" si="14"/>
        <v>1.2788884062167254</v>
      </c>
      <c r="F183" s="4">
        <f t="shared" si="15"/>
        <v>2.7471576219794889</v>
      </c>
      <c r="G183" s="4">
        <f t="shared" si="16"/>
        <v>1.2788884062167254</v>
      </c>
      <c r="H183" s="4" t="str">
        <f t="shared" si="17"/>
        <v>C3</v>
      </c>
      <c r="I183" s="110"/>
      <c r="J183" s="110"/>
      <c r="M183" s="72"/>
      <c r="N183" s="4" t="str">
        <v>reny</v>
      </c>
      <c r="O183" s="72"/>
    </row>
    <row r="184" spans="1:15" x14ac:dyDescent="0.35">
      <c r="A184" s="4">
        <v>51</v>
      </c>
      <c r="B184" s="4" t="s">
        <v>327</v>
      </c>
      <c r="C184" s="4">
        <f t="shared" si="12"/>
        <v>0.49300664859163446</v>
      </c>
      <c r="D184" s="4">
        <f t="shared" si="13"/>
        <v>2.6875900907444517</v>
      </c>
      <c r="E184" s="4">
        <f t="shared" si="14"/>
        <v>2.0901887208787842</v>
      </c>
      <c r="F184" s="4">
        <f t="shared" si="15"/>
        <v>2.6070817018267762</v>
      </c>
      <c r="G184" s="4">
        <f t="shared" si="16"/>
        <v>0.49300664859163446</v>
      </c>
      <c r="H184" s="4" t="str">
        <f t="shared" si="17"/>
        <v>C1</v>
      </c>
      <c r="I184" s="110"/>
      <c r="J184" s="110"/>
      <c r="M184" s="72"/>
      <c r="N184" s="4" t="str">
        <v>desy</v>
      </c>
      <c r="O184" s="72"/>
    </row>
    <row r="185" spans="1:15" x14ac:dyDescent="0.35">
      <c r="A185" s="4">
        <v>52</v>
      </c>
      <c r="B185" s="4" t="s">
        <v>328</v>
      </c>
      <c r="C185" s="4">
        <f t="shared" si="12"/>
        <v>3.0675270532176606</v>
      </c>
      <c r="D185" s="4">
        <f t="shared" si="13"/>
        <v>1.8204531267727988</v>
      </c>
      <c r="E185" s="4">
        <f t="shared" si="14"/>
        <v>1.6027753706895076</v>
      </c>
      <c r="F185" s="4">
        <f t="shared" si="15"/>
        <v>2.9448047473474368</v>
      </c>
      <c r="G185" s="4">
        <f t="shared" si="16"/>
        <v>1.6027753706895076</v>
      </c>
      <c r="H185" s="4" t="str">
        <f t="shared" si="17"/>
        <v>C3</v>
      </c>
      <c r="I185" s="110"/>
      <c r="J185" s="110"/>
      <c r="M185" s="72"/>
      <c r="N185" s="4" t="str">
        <v>carmen</v>
      </c>
      <c r="O185" s="72"/>
    </row>
    <row r="186" spans="1:15" x14ac:dyDescent="0.35">
      <c r="A186" s="4">
        <v>53</v>
      </c>
      <c r="B186" s="4" t="s">
        <v>329</v>
      </c>
      <c r="C186" s="4">
        <f t="shared" si="12"/>
        <v>2.8710721961587025</v>
      </c>
      <c r="D186" s="4">
        <f t="shared" si="13"/>
        <v>2.1416761798890449</v>
      </c>
      <c r="E186" s="4">
        <f t="shared" si="14"/>
        <v>2.858126814696802</v>
      </c>
      <c r="F186" s="4">
        <f t="shared" si="15"/>
        <v>1.5155444566227676</v>
      </c>
      <c r="G186" s="4">
        <f t="shared" si="16"/>
        <v>1.5155444566227676</v>
      </c>
      <c r="H186" s="4" t="str">
        <f t="shared" si="17"/>
        <v>C4</v>
      </c>
      <c r="I186" s="110"/>
      <c r="J186" s="110"/>
      <c r="M186" s="72"/>
      <c r="N186" s="4" t="str">
        <v>aprilia</v>
      </c>
      <c r="O186" s="72"/>
    </row>
    <row r="187" spans="1:15" x14ac:dyDescent="0.35">
      <c r="A187" s="4">
        <v>54</v>
      </c>
      <c r="B187" s="4" t="s">
        <v>330</v>
      </c>
      <c r="C187" s="4">
        <f t="shared" si="12"/>
        <v>1.6051133570215188</v>
      </c>
      <c r="D187" s="4">
        <f t="shared" si="13"/>
        <v>2.2854191072684609</v>
      </c>
      <c r="E187" s="4">
        <f t="shared" si="14"/>
        <v>3.093362068832048</v>
      </c>
      <c r="F187" s="4">
        <f t="shared" si="15"/>
        <v>3.1099638261561822</v>
      </c>
      <c r="G187" s="4">
        <f t="shared" si="16"/>
        <v>1.6051133570215188</v>
      </c>
      <c r="H187" s="4" t="str">
        <f t="shared" si="17"/>
        <v>C1</v>
      </c>
      <c r="I187" s="110"/>
      <c r="J187" s="110"/>
    </row>
  </sheetData>
  <mergeCells count="20">
    <mergeCell ref="M156:M170"/>
    <mergeCell ref="O156:O170"/>
    <mergeCell ref="M171:M186"/>
    <mergeCell ref="O171:O186"/>
    <mergeCell ref="A124:M124"/>
    <mergeCell ref="M133:M144"/>
    <mergeCell ref="O133:O144"/>
    <mergeCell ref="M145:M155"/>
    <mergeCell ref="O145:O155"/>
    <mergeCell ref="A132:H132"/>
    <mergeCell ref="A58:M58"/>
    <mergeCell ref="M91:M105"/>
    <mergeCell ref="M106:M121"/>
    <mergeCell ref="O68:O79"/>
    <mergeCell ref="O80:O90"/>
    <mergeCell ref="O91:O105"/>
    <mergeCell ref="O106:O121"/>
    <mergeCell ref="M68:M79"/>
    <mergeCell ref="M80:M90"/>
    <mergeCell ref="A66:H6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 awal</vt:lpstr>
      <vt:lpstr>Sheet2</vt:lpstr>
      <vt:lpstr>Sheet3</vt:lpstr>
      <vt:lpstr>data 10</vt:lpstr>
      <vt:lpstr>kmean</vt:lpstr>
      <vt:lpstr>kmean update</vt:lpstr>
      <vt:lpstr>kmeans terbaru</vt:lpstr>
      <vt:lpstr>kmeans update</vt:lpstr>
      <vt:lpstr>budanis kmean</vt:lpstr>
      <vt:lpstr>kmeans terbaru (2)</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HANIF</dc:creator>
  <cp:lastModifiedBy>Davano alif Ramadhan</cp:lastModifiedBy>
  <dcterms:created xsi:type="dcterms:W3CDTF">2025-12-02T02:22:08Z</dcterms:created>
  <dcterms:modified xsi:type="dcterms:W3CDTF">2026-04-22T11:36:41Z</dcterms:modified>
</cp:coreProperties>
</file>